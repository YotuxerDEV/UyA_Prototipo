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480" yWindow="120" windowWidth="15480" windowHeight="8952" tabRatio="889" firstSheet="0" activeTab="0" autoFilterDateGrouping="1"/>
  </bookViews>
  <sheets>
    <sheet name="Datos sitio" sheetId="1" state="visible" r:id="rId1"/>
    <sheet name="1, Aspectos generales" sheetId="2" state="visible" r:id="rId2"/>
    <sheet name="2, Identidad e Información" sheetId="3" state="visible" r:id="rId3"/>
    <sheet name="3, Estructura y navegación" sheetId="4" state="visible" r:id="rId4"/>
    <sheet name="4, Rotulado" sheetId="5" state="visible" r:id="rId5"/>
    <sheet name="5, Layout de la página" sheetId="6" state="visible" r:id="rId6"/>
    <sheet name="6, Entendibilidad y Facilidad" sheetId="7" state="visible" r:id="rId7"/>
    <sheet name="7, Control y Retoalimentación" sheetId="8" state="visible" r:id="rId8"/>
    <sheet name="8, Elementos multimedia" sheetId="9" state="visible" r:id="rId9"/>
    <sheet name="9, Búsqueda" sheetId="10" state="visible" r:id="rId10"/>
    <sheet name="10, Ayuda" sheetId="11" state="visible" r:id="rId11"/>
    <sheet name="Cálculo de % usabilidad" sheetId="12" state="visible" r:id="rId12"/>
    <sheet name="Tablas de relevancia" sheetId="13" state="visible" r:id="rId13"/>
    <sheet name="Valores" sheetId="14" state="visible" r:id="rId14"/>
  </sheets>
  <definedNames>
    <definedName name="NumEval">'Cálculo de % usabilidad'!$F$4</definedName>
    <definedName name="Relenacia">Valores!$J$5:$J$8</definedName>
    <definedName name="Relevancia">Valores!$J$5:$J$8</definedName>
    <definedName name="Tabla621">'Tablas de relevancia'!$A$4:$Q$13</definedName>
    <definedName name="Tabla622">'Tablas de relevancia'!$A$18:$Q$24</definedName>
    <definedName name="Tabla623">'Tablas de relevancia'!$A$29:$Q$42</definedName>
    <definedName name="Tabla624">'Tablas de relevancia'!$A$47:$Q$52</definedName>
    <definedName name="Tabla625">'Tablas de relevancia'!$A$57:$Q$66</definedName>
    <definedName name="Tabla626">'Tablas de relevancia'!$A$71:$Q$77</definedName>
    <definedName name="Tabla627">'Tablas de relevancia'!$A$82:$Q$91</definedName>
    <definedName name="Tabla628">'Tablas de relevancia'!$A$96:$Q$101</definedName>
    <definedName name="Tabla629">'Tablas de relevancia'!$A$106:$Q$113</definedName>
    <definedName name="Tabla630">'Tablas de relevancia'!$A$118:$Q$122</definedName>
    <definedName name="TipoDeSitio">'Datos sitio'!$B$15</definedName>
    <definedName name="Tipos">Valores!$E$5:$E$20</definedName>
    <definedName name="Valores1">Valores!$A$5:$A$16</definedName>
    <definedName name="Valores2">Valores!$C$5:$C$10</definedName>
    <definedName name="ValoresRC">Valores!$J$5:$K$8</definedName>
    <definedName name="ValoresVC">Valores!$M$5:$N$21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0000"/>
    <numFmt numFmtId="165" formatCode="0.000000000000000"/>
  </numFmts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1"/>
      <u val="single"/>
    </font>
    <font>
      <name val="Calibri"/>
      <family val="2"/>
      <color theme="1"/>
      <sz val="9.9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color theme="1"/>
      <sz val="18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9.9"/>
      <scheme val="minor"/>
    </font>
    <font>
      <name val="Calibri"/>
      <family val="2"/>
      <color theme="1"/>
      <sz val="11"/>
      <scheme val="minor"/>
    </font>
    <font>
      <name val="Times New Roman"/>
      <charset val="1"/>
      <family val="1"/>
      <color indexed="8"/>
      <sz val="10"/>
    </font>
    <font>
      <name val="Calibri"/>
      <family val="2"/>
      <b val="1"/>
      <color indexed="8"/>
      <sz val="10"/>
      <scheme val="minor"/>
    </font>
    <font>
      <name val="Calibri"/>
      <family val="2"/>
      <color indexed="8"/>
      <sz val="10"/>
      <scheme val="minor"/>
    </font>
    <font>
      <name val="Calibri"/>
      <family val="2"/>
      <color indexed="8"/>
      <sz val="14"/>
      <scheme val="minor"/>
    </font>
    <font>
      <name val="Calibri"/>
      <family val="2"/>
      <color theme="1"/>
      <sz val="11"/>
    </font>
    <font>
      <name val="Calibri"/>
      <family val="2"/>
      <b val="1"/>
      <i val="1"/>
      <color theme="1"/>
      <sz val="18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hair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hair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/>
      <diagonal/>
    </border>
    <border>
      <left/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</borders>
  <cellStyleXfs count="6">
    <xf numFmtId="0" fontId="24" fillId="0" borderId="0"/>
    <xf numFmtId="0" fontId="21" fillId="0" borderId="0" applyAlignment="1" applyProtection="1">
      <alignment vertical="top"/>
      <protection locked="0" hidden="0"/>
    </xf>
    <xf numFmtId="0" fontId="12" fillId="0" borderId="0"/>
    <xf numFmtId="0" fontId="24" fillId="2" borderId="1" applyAlignment="1">
      <alignment horizontal="center"/>
    </xf>
    <xf numFmtId="0" fontId="25" fillId="2" borderId="2"/>
    <xf numFmtId="1" fontId="25" fillId="2" borderId="3"/>
  </cellStyleXfs>
  <cellXfs count="110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0" fillId="3" borderId="0" pivotButton="0" quotePrefix="0" xfId="0"/>
    <xf numFmtId="0" fontId="0" fillId="3" borderId="0" applyAlignment="1" pivotButton="0" quotePrefix="0" xfId="0">
      <alignment horizontal="left"/>
    </xf>
    <xf numFmtId="0" fontId="1" fillId="2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left"/>
    </xf>
    <xf numFmtId="0" fontId="0" fillId="3" borderId="0" pivotButton="0" quotePrefix="0" xfId="0"/>
    <xf numFmtId="1" fontId="0" fillId="0" borderId="0" pivotButton="0" quotePrefix="0" xfId="0"/>
    <xf numFmtId="0" fontId="6" fillId="3" borderId="0" pivotButton="0" quotePrefix="0" xfId="0"/>
    <xf numFmtId="0" fontId="7" fillId="0" borderId="0" applyAlignment="1" pivotButton="0" quotePrefix="0" xfId="0">
      <alignment horizontal="left"/>
    </xf>
    <xf numFmtId="0" fontId="8" fillId="0" borderId="0" pivotButton="0" quotePrefix="0" xfId="0"/>
    <xf numFmtId="2" fontId="0" fillId="3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2" borderId="2" pivotButton="0" quotePrefix="0" xfId="0"/>
    <xf numFmtId="0" fontId="0" fillId="0" borderId="2" applyAlignment="1" pivotButton="0" quotePrefix="0" xfId="0">
      <alignment wrapText="1"/>
    </xf>
    <xf numFmtId="0" fontId="1" fillId="0" borderId="2" pivotButton="0" quotePrefix="0" xfId="0"/>
    <xf numFmtId="0" fontId="8" fillId="2" borderId="4" pivotButton="0" quotePrefix="0" xfId="0"/>
    <xf numFmtId="0" fontId="13" fillId="0" borderId="0" pivotButton="0" quotePrefix="0" xfId="2"/>
    <xf numFmtId="0" fontId="14" fillId="0" borderId="0" pivotButton="0" quotePrefix="0" xfId="2"/>
    <xf numFmtId="0" fontId="15" fillId="0" borderId="0" pivotButton="0" quotePrefix="0" xfId="2"/>
    <xf numFmtId="0" fontId="14" fillId="0" borderId="0" applyAlignment="1" pivotButton="0" quotePrefix="0" xfId="2">
      <alignment horizontal="left" textRotation="30"/>
    </xf>
    <xf numFmtId="0" fontId="14" fillId="0" borderId="0" applyAlignment="1" pivotButton="0" quotePrefix="0" xfId="2">
      <alignment wrapText="1"/>
    </xf>
    <xf numFmtId="0" fontId="14" fillId="0" borderId="0" applyAlignment="1" pivotButton="0" quotePrefix="0" xfId="2">
      <alignment horizontal="center" vertical="center"/>
    </xf>
    <xf numFmtId="0" fontId="0" fillId="0" borderId="2" applyAlignment="1" pivotButton="0" quotePrefix="0" xfId="0">
      <alignment vertical="top"/>
    </xf>
    <xf numFmtId="0" fontId="0" fillId="2" borderId="2" applyAlignment="1" pivotButton="0" quotePrefix="0" xfId="0">
      <alignment vertical="top"/>
    </xf>
    <xf numFmtId="0" fontId="0" fillId="2" borderId="1" applyAlignment="1" pivotButton="0" quotePrefix="0" xfId="3">
      <alignment horizontal="center"/>
    </xf>
    <xf numFmtId="164" fontId="0" fillId="2" borderId="1" applyAlignment="1" pivotButton="0" quotePrefix="0" xfId="3">
      <alignment horizontal="center"/>
    </xf>
    <xf numFmtId="165" fontId="0" fillId="2" borderId="1" applyAlignment="1" pivotButton="0" quotePrefix="0" xfId="3">
      <alignment horizontal="center"/>
    </xf>
    <xf numFmtId="0" fontId="0" fillId="2" borderId="2" applyAlignment="1" pivotButton="0" quotePrefix="0" xfId="3">
      <alignment horizontal="center"/>
    </xf>
    <xf numFmtId="0" fontId="0" fillId="2" borderId="2" applyAlignment="1" pivotButton="0" quotePrefix="0" xfId="3">
      <alignment vertical="top"/>
    </xf>
    <xf numFmtId="164" fontId="0" fillId="2" borderId="2" applyAlignment="1" pivotButton="0" quotePrefix="0" xfId="3">
      <alignment vertical="top"/>
    </xf>
    <xf numFmtId="165" fontId="0" fillId="2" borderId="2" applyAlignment="1" pivotButton="0" quotePrefix="0" xfId="3">
      <alignment vertical="top"/>
    </xf>
    <xf numFmtId="164" fontId="0" fillId="2" borderId="2" applyAlignment="1" pivotButton="0" quotePrefix="0" xfId="3">
      <alignment horizontal="center"/>
    </xf>
    <xf numFmtId="165" fontId="0" fillId="2" borderId="2" applyAlignment="1" pivotButton="0" quotePrefix="0" xfId="3">
      <alignment horizontal="center"/>
    </xf>
    <xf numFmtId="0" fontId="1" fillId="2" borderId="2" pivotButton="0" quotePrefix="0" xfId="4"/>
    <xf numFmtId="0" fontId="0" fillId="0" borderId="2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0" fillId="0" borderId="2" applyAlignment="1" applyProtection="1" pivotButton="0" quotePrefix="0" xfId="0">
      <alignment vertical="top"/>
      <protection locked="0" hidden="0"/>
    </xf>
    <xf numFmtId="1" fontId="0" fillId="0" borderId="2" applyProtection="1" pivotButton="0" quotePrefix="0" xfId="0">
      <protection locked="1" hidden="1"/>
    </xf>
    <xf numFmtId="164" fontId="0" fillId="0" borderId="2" applyProtection="1" pivotButton="0" quotePrefix="0" xfId="0">
      <protection locked="1" hidden="1"/>
    </xf>
    <xf numFmtId="2" fontId="9" fillId="0" borderId="5" applyAlignment="1" applyProtection="1" pivotButton="0" quotePrefix="0" xfId="0">
      <alignment horizontal="left"/>
      <protection locked="1" hidden="1"/>
    </xf>
    <xf numFmtId="1" fontId="1" fillId="2" borderId="3" pivotButton="0" quotePrefix="0" xfId="5"/>
    <xf numFmtId="0" fontId="0" fillId="0" borderId="2" applyAlignment="1" applyProtection="1" pivotButton="0" quotePrefix="0" xfId="0">
      <alignment horizontal="center" vertical="center"/>
      <protection locked="0" hidden="0"/>
    </xf>
    <xf numFmtId="0" fontId="0" fillId="2" borderId="2" applyAlignment="1" pivotButton="0" quotePrefix="0" xfId="3">
      <alignment horizontal="center" vertical="center"/>
    </xf>
    <xf numFmtId="0" fontId="1" fillId="2" borderId="2" applyAlignment="1" pivotButton="0" quotePrefix="0" xfId="4">
      <alignment horizontal="center" vertical="center"/>
    </xf>
    <xf numFmtId="0" fontId="0" fillId="0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pivotButton="0" quotePrefix="0" xfId="3">
      <alignment horizontal="center" vertical="center"/>
    </xf>
    <xf numFmtId="0" fontId="0" fillId="0" borderId="1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applyProtection="1" pivotButton="0" quotePrefix="0" xfId="0">
      <alignment horizontal="center" vertical="center" wrapText="1"/>
      <protection locked="0" hidden="0"/>
    </xf>
    <xf numFmtId="0" fontId="0" fillId="0" borderId="2" applyAlignment="1" pivotButton="0" quotePrefix="0" xfId="0">
      <alignment wrapText="1"/>
    </xf>
    <xf numFmtId="0" fontId="0" fillId="0" borderId="2" pivotButton="0" quotePrefix="0" xfId="0"/>
    <xf numFmtId="0" fontId="17" fillId="0" borderId="0" pivotButton="0" quotePrefix="0" xfId="0"/>
    <xf numFmtId="0" fontId="18" fillId="0" borderId="0" pivotButton="0" quotePrefix="0" xfId="0"/>
    <xf numFmtId="14" fontId="19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1"/>
    <xf numFmtId="0" fontId="22" fillId="0" borderId="0" applyAlignment="1" pivotButton="0" quotePrefix="0" xfId="0">
      <alignment vertical="center"/>
    </xf>
    <xf numFmtId="0" fontId="19" fillId="2" borderId="2" pivotButton="0" quotePrefix="0" xfId="4"/>
    <xf numFmtId="0" fontId="19" fillId="0" borderId="2" applyProtection="1" pivotButton="0" quotePrefix="0" xfId="0">
      <protection locked="0" hidden="0"/>
    </xf>
    <xf numFmtId="14" fontId="19" fillId="0" borderId="2" applyProtection="1" pivotButton="0" quotePrefix="0" xfId="0">
      <protection locked="0" hidden="0"/>
    </xf>
    <xf numFmtId="0" fontId="22" fillId="2" borderId="0" pivotButton="0" quotePrefix="0" xfId="0"/>
    <xf numFmtId="0" fontId="21" fillId="0" borderId="0" applyAlignment="1" pivotButton="0" quotePrefix="0" xfId="1">
      <alignment horizontal="left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/>
    </xf>
    <xf numFmtId="0" fontId="23" fillId="0" borderId="0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2" borderId="2" pivotButton="0" quotePrefix="0" xfId="4"/>
    <xf numFmtId="0" fontId="25" fillId="2" borderId="2" applyAlignment="1" pivotButton="0" quotePrefix="0" xfId="4">
      <alignment horizontal="center" vertical="center"/>
    </xf>
    <xf numFmtId="0" fontId="24" fillId="3" borderId="0" pivotButton="0" quotePrefix="0" xfId="0"/>
    <xf numFmtId="0" fontId="24" fillId="0" borderId="2" pivotButton="0" quotePrefix="0" xfId="0"/>
    <xf numFmtId="0" fontId="24" fillId="0" borderId="2" applyAlignment="1" pivotButton="0" quotePrefix="0" xfId="0">
      <alignment wrapText="1"/>
    </xf>
    <xf numFmtId="0" fontId="24" fillId="0" borderId="2" applyAlignment="1" applyProtection="1" pivotButton="0" quotePrefix="0" xfId="0">
      <alignment horizontal="center" vertical="center"/>
      <protection locked="0" hidden="0"/>
    </xf>
    <xf numFmtId="0" fontId="24" fillId="2" borderId="2" applyAlignment="1" pivotButton="0" quotePrefix="0" xfId="3">
      <alignment horizontal="center" vertical="center"/>
    </xf>
    <xf numFmtId="0" fontId="24" fillId="0" borderId="2" applyProtection="1" pivotButton="0" quotePrefix="0" xfId="0">
      <protection locked="0" hidden="0"/>
    </xf>
    <xf numFmtId="0" fontId="24" fillId="2" borderId="2" pivotButton="0" quotePrefix="0" xfId="0"/>
    <xf numFmtId="0" fontId="24" fillId="2" borderId="2" applyAlignment="1" pivotButton="0" quotePrefix="0" xfId="3">
      <alignment horizontal="center"/>
    </xf>
    <xf numFmtId="164" fontId="24" fillId="2" borderId="2" applyAlignment="1" pivotButton="0" quotePrefix="0" xfId="3">
      <alignment horizontal="center"/>
    </xf>
    <xf numFmtId="165" fontId="24" fillId="2" borderId="2" applyAlignment="1" pivotButton="0" quotePrefix="0" xfId="3">
      <alignment horizontal="center"/>
    </xf>
    <xf numFmtId="0" fontId="24" fillId="0" borderId="2" applyAlignment="1" applyProtection="1" pivotButton="0" quotePrefix="0" xfId="0">
      <alignment horizontal="center" vertical="center" wrapText="1"/>
      <protection locked="0" hidden="0"/>
    </xf>
    <xf numFmtId="0" fontId="24" fillId="0" borderId="2" applyAlignment="1" pivotButton="0" quotePrefix="0" xfId="0">
      <alignment wrapText="1"/>
    </xf>
    <xf numFmtId="1" fontId="24" fillId="0" borderId="0" pivotButton="0" quotePrefix="0" xfId="0"/>
    <xf numFmtId="0" fontId="24" fillId="0" borderId="0" pivotButton="0" quotePrefix="0" xfId="0"/>
    <xf numFmtId="1" fontId="25" fillId="2" borderId="3" pivotButton="0" quotePrefix="0" xfId="5"/>
    <xf numFmtId="0" fontId="25" fillId="0" borderId="0" pivotButton="0" quotePrefix="0" xfId="0"/>
    <xf numFmtId="0" fontId="25" fillId="2" borderId="0" pivotButton="0" quotePrefix="0" xfId="0"/>
    <xf numFmtId="0" fontId="24" fillId="2" borderId="0" pivotButton="0" quotePrefix="0" xfId="0"/>
    <xf numFmtId="0" fontId="24" fillId="2" borderId="0" applyAlignment="1" pivotButton="0" quotePrefix="0" xfId="0">
      <alignment horizontal="left"/>
    </xf>
    <xf numFmtId="0" fontId="24" fillId="3" borderId="0" applyAlignment="1" pivotButton="0" quotePrefix="0" xfId="0">
      <alignment horizontal="left"/>
    </xf>
    <xf numFmtId="164" fontId="0" fillId="2" borderId="1" applyAlignment="1" pivotButton="0" quotePrefix="0" xfId="3">
      <alignment horizontal="center"/>
    </xf>
    <xf numFmtId="165" fontId="0" fillId="2" borderId="1" applyAlignment="1" pivotButton="0" quotePrefix="0" xfId="3">
      <alignment horizontal="center"/>
    </xf>
    <xf numFmtId="164" fontId="0" fillId="2" borderId="2" applyAlignment="1" pivotButton="0" quotePrefix="0" xfId="3">
      <alignment horizontal="center"/>
    </xf>
    <xf numFmtId="165" fontId="0" fillId="2" borderId="2" applyAlignment="1" pivotButton="0" quotePrefix="0" xfId="3">
      <alignment horizontal="center"/>
    </xf>
    <xf numFmtId="164" fontId="24" fillId="2" borderId="2" applyAlignment="1" pivotButton="0" quotePrefix="0" xfId="3">
      <alignment horizontal="center"/>
    </xf>
    <xf numFmtId="165" fontId="24" fillId="2" borderId="2" applyAlignment="1" pivotButton="0" quotePrefix="0" xfId="3">
      <alignment horizontal="center"/>
    </xf>
    <xf numFmtId="164" fontId="0" fillId="2" borderId="2" applyAlignment="1" pivotButton="0" quotePrefix="0" xfId="3">
      <alignment vertical="top"/>
    </xf>
    <xf numFmtId="165" fontId="0" fillId="2" borderId="2" applyAlignment="1" pivotButton="0" quotePrefix="0" xfId="3">
      <alignment vertical="top"/>
    </xf>
    <xf numFmtId="0" fontId="0" fillId="0" borderId="8" pivotButton="0" quotePrefix="0" xfId="0"/>
    <xf numFmtId="164" fontId="0" fillId="0" borderId="2" applyProtection="1" pivotButton="0" quotePrefix="0" xfId="0">
      <protection locked="1" hidden="1"/>
    </xf>
  </cellXfs>
  <cellStyles count="6">
    <cellStyle name="Normal" xfId="0" builtinId="0"/>
    <cellStyle name="Hipervínculo" xfId="1" builtinId="8"/>
    <cellStyle name="Normal 2" xfId="2"/>
    <cellStyle name="Protegida" xfId="3"/>
    <cellStyle name="Encabezado" xfId="4"/>
    <cellStyle name="Total Valor interno de relevancia" xf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.uniovi.es/~cueva/investigacion/tesis/Sirius.pdf" TargetMode="External" Id="rId1" /><Relationship Type="http://schemas.openxmlformats.org/officeDocument/2006/relationships/hyperlink" Target="http://olgacarreras.blogspot.com/" TargetMode="External" Id="rId2" /><Relationship Type="http://schemas.openxmlformats.org/officeDocument/2006/relationships/hyperlink" Target="http://leevel.com/" TargetMode="External" Id="rId3" /><Relationship Type="http://schemas.openxmlformats.org/officeDocument/2006/relationships/hyperlink" Target="http://olgacarreras.blogspot.com/2011/07/sirius-nueva-sistema-para-la-evaluacion.html" TargetMode="External" Id="rId4" /><Relationship Type="http://schemas.openxmlformats.org/officeDocument/2006/relationships/hyperlink" Target="http://olgacarreras.blogspot.com/2011/07/sirius-nueva-sistema-para-la-evaluacion.html" TargetMode="External" Id="rId5" /><Relationship Type="http://schemas.openxmlformats.org/officeDocument/2006/relationships/hyperlink" Target="mailto:carreras.olga@gmail.com?subject=Excel%20Sirius" TargetMode="External" Id="rId6" 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I30"/>
  <sheetViews>
    <sheetView showGridLines="0" tabSelected="1" topLeftCell="A4" workbookViewId="0">
      <selection activeCell="A5" sqref="A5"/>
    </sheetView>
  </sheetViews>
  <sheetFormatPr baseColWidth="10" defaultRowHeight="14.4"/>
  <cols>
    <col width="42.109375" customWidth="1" style="63" min="1" max="1"/>
    <col width="57.44140625" customWidth="1" style="63" min="2" max="2"/>
    <col width="18" customWidth="1" style="63" min="3" max="3"/>
    <col width="11.5546875" customWidth="1" style="63" min="4" max="16384"/>
  </cols>
  <sheetData>
    <row r="1" ht="36.75" customHeight="1" s="3">
      <c r="A1" s="60" t="inlineStr">
        <is>
          <t>Checklist para revisión heurística de usabilidad v.3beta</t>
        </is>
      </c>
      <c r="B1" s="61" t="n"/>
      <c r="C1" s="62" t="n">
        <v>40756</v>
      </c>
    </row>
    <row r="2" ht="15.75" customHeight="1" s="3">
      <c r="A2" s="64" t="inlineStr">
        <is>
          <t xml:space="preserve">basada en la tesis de  Mª del Carmen Suárez Torrente </t>
        </is>
      </c>
      <c r="B2" s="61" t="n"/>
    </row>
    <row r="3">
      <c r="A3" s="65" t="inlineStr">
        <is>
          <t xml:space="preserve">Sirius: Sistema de Evaluación de la Usabilidad Web Orientado al Usuario y basado en la Determinación de Tareas Críticas </t>
        </is>
      </c>
    </row>
    <row r="5">
      <c r="A5" s="63" t="inlineStr">
        <is>
          <t>Autor: Olga Carreras Montoto</t>
        </is>
      </c>
      <c r="B5" s="65" t="inlineStr">
        <is>
          <t>(Usable y accesible)</t>
        </is>
      </c>
    </row>
    <row r="6">
      <c r="A6" s="63" t="inlineStr">
        <is>
          <t>Mejoras de la v.3 por: Cecilio Sánchez «Cean»</t>
        </is>
      </c>
      <c r="B6" s="65" t="inlineStr">
        <is>
          <t>(leevel)</t>
        </is>
      </c>
    </row>
    <row r="7">
      <c r="A7" s="71" t="inlineStr">
        <is>
          <t>Artículo:  http://olgacarreras.blogspot.com/2011/07/sirius-nueva-sistema-para-la-evaluacion.html</t>
        </is>
      </c>
    </row>
    <row r="10" ht="15.6" customHeight="1" s="3">
      <c r="A10" s="66" t="inlineStr">
        <is>
          <t>DATOS GENERALES DE LA EVALUACIÓN</t>
        </is>
      </c>
    </row>
    <row r="11">
      <c r="A11" s="67" t="inlineStr">
        <is>
          <t>Evaluador</t>
        </is>
      </c>
      <c r="B11" s="68" t="inlineStr">
        <is>
          <t>GitHub Copilot</t>
        </is>
      </c>
    </row>
    <row r="12">
      <c r="A12" s="67" t="inlineStr">
        <is>
          <t>Fecha de evaluación</t>
        </is>
      </c>
      <c r="B12" s="69" t="n">
        <v>46147</v>
      </c>
    </row>
    <row r="13">
      <c r="A13" s="67" t="inlineStr">
        <is>
          <t>Nombre del sitio evaluado</t>
        </is>
      </c>
      <c r="B13" s="68" t="inlineStr">
        <is>
          <t>Taxi Transfer Tenerife</t>
        </is>
      </c>
    </row>
    <row r="14">
      <c r="A14" s="67" t="inlineStr">
        <is>
          <t>URL del sitio evaluado</t>
        </is>
      </c>
      <c r="B14" s="68" t="inlineStr">
        <is>
          <t>file:///index.html (prototipo local)</t>
        </is>
      </c>
    </row>
    <row r="15">
      <c r="A15" s="67" t="inlineStr">
        <is>
          <t>Tipo de sitio evaluado</t>
        </is>
      </c>
      <c r="B15" s="68" t="inlineStr">
        <is>
          <t>Portal de Servicios</t>
        </is>
      </c>
      <c r="C15" s="63" t="inlineStr">
        <is>
          <t>(nota: no admite la definición de sitio híbrido, ver pp. 162 de la tesis)</t>
        </is>
      </c>
    </row>
    <row r="16">
      <c r="A16" s="67" t="inlineStr">
        <is>
          <t>Navegador con el que se revisa</t>
        </is>
      </c>
      <c r="B16" s="68" t="inlineStr">
        <is>
          <t>Google Chrome</t>
        </is>
      </c>
    </row>
    <row r="17">
      <c r="A17" s="67" t="inlineStr">
        <is>
          <t>Versión el navegador</t>
        </is>
      </c>
      <c r="B17" s="68" t="inlineStr">
        <is>
          <t>124</t>
        </is>
      </c>
    </row>
    <row r="20" ht="15.6" customHeight="1" s="3">
      <c r="A20" s="70" t="inlineStr">
        <is>
          <t>Cómo usar esta Excel</t>
        </is>
      </c>
    </row>
    <row r="21">
      <c r="C21" s="71" t="inlineStr">
        <is>
          <t>http://olgacarreras.blogspot.com/2011/07/sirius-nueva-sistema-para-la-evaluacion.html</t>
        </is>
      </c>
    </row>
    <row r="22">
      <c r="A22" s="63" t="inlineStr">
        <is>
          <t>1. Se recomienda leer primero el artículo dónde se explica el nuevo sistema de evaluación Sirius:</t>
        </is>
      </c>
    </row>
    <row r="23">
      <c r="A23" s="63" t="inlineStr">
        <is>
          <t>2. Rellenar los datos generales del sitio a evaluar (en esta pestaña)</t>
        </is>
      </c>
    </row>
    <row r="24">
      <c r="A24" s="63" t="inlineStr">
        <is>
          <t>3. Evaluar los criterios de cada heurístico (10, uno por pestaña) según las indicaciones que se incluyen en cada pestaña</t>
        </is>
      </c>
    </row>
    <row r="25">
      <c r="A25" s="63" t="inlineStr">
        <is>
          <t>4. En la pestaña "Cálculo de % de usabilidad" se puede consultar la puntuación que recibe el sitio (pocentaje: 0-100) según la evaluación que se ha hecho de los diferentes criterios</t>
        </is>
      </c>
    </row>
    <row r="27" ht="15.6" customHeight="1" s="3">
      <c r="A27" s="70" t="inlineStr">
        <is>
          <t>Licencia</t>
        </is>
      </c>
    </row>
    <row r="29">
      <c r="A29" s="63" t="inlineStr">
        <is>
          <t>Esta excel se distribuye gratuitamente. Está protegida para evitar versiones erróneas.</t>
        </is>
      </c>
    </row>
    <row r="30">
      <c r="A30" s="63" t="inlineStr">
        <is>
          <t>Si deseas colaborar en su mejora o reportar una sugerencia o incedencia puedes enviar un correo a:</t>
        </is>
      </c>
      <c r="C30" s="65" t="inlineStr">
        <is>
          <t xml:space="preserve"> carreras.olga@gmail.com</t>
        </is>
      </c>
    </row>
    <row r="42" ht="24" customHeight="1" s="3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mergeCells count="2">
    <mergeCell ref="C21:I22"/>
    <mergeCell ref="A7:B7"/>
  </mergeCells>
  <dataValidations count="1">
    <dataValidation sqref="B15" showDropDown="0" showInputMessage="1" showErrorMessage="1" allowBlank="1" type="list">
      <formula1>Tipos</formula1>
    </dataValidation>
  </dataValidations>
  <hyperlinks>
    <hyperlink xmlns:r="http://schemas.openxmlformats.org/officeDocument/2006/relationships" ref="A3" r:id="rId1"/>
    <hyperlink xmlns:r="http://schemas.openxmlformats.org/officeDocument/2006/relationships" ref="B5" display=" (Usable y accesible)" r:id="rId2"/>
    <hyperlink xmlns:r="http://schemas.openxmlformats.org/officeDocument/2006/relationships" ref="B6" r:id="rId3"/>
    <hyperlink xmlns:r="http://schemas.openxmlformats.org/officeDocument/2006/relationships" ref="A7" r:id="rId4"/>
    <hyperlink xmlns:r="http://schemas.openxmlformats.org/officeDocument/2006/relationships" ref="C21" r:id="rId5"/>
    <hyperlink xmlns:r="http://schemas.openxmlformats.org/officeDocument/2006/relationships" ref="C30" r:id="rId6"/>
  </hyperlink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M20"/>
  <sheetViews>
    <sheetView showGridLines="0" workbookViewId="0">
      <selection activeCell="A1" sqref="A1:G1"/>
    </sheetView>
  </sheetViews>
  <sheetFormatPr baseColWidth="10" defaultRowHeight="14.4"/>
  <cols>
    <col width="97.33203125" customWidth="1" style="3" min="2" max="2"/>
    <col width="12" customWidth="1" style="3" min="3" max="3"/>
    <col width="13.33203125" customWidth="1" style="3" min="4" max="4"/>
    <col width="34.109375" customWidth="1" style="3" min="5" max="5"/>
    <col width="18.109375" customWidth="1" style="3" min="6" max="6"/>
    <col width="29" customWidth="1" style="3" min="7" max="7"/>
    <col width="23.5546875" customWidth="1" style="3" min="8" max="10"/>
    <col width="25" customWidth="1" style="3" min="11" max="11"/>
    <col width="5.6640625" customWidth="1" style="3" min="12" max="12"/>
  </cols>
  <sheetData>
    <row r="1" ht="36.75" customHeight="1" s="3">
      <c r="A1" s="72" t="inlineStr">
        <is>
          <t xml:space="preserve">CRITERIOS DEL "HEURÍSTICO ASPECTOS GENERALES": Elementos relacionados con los objetivos del sitio, el look &amp; feel, coherencia y nivel de actualización de contenidos. 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M2" s="11" t="n"/>
    </row>
    <row r="3">
      <c r="A3" s="17" t="inlineStr">
        <is>
          <t>AG1</t>
        </is>
      </c>
      <c r="B3" s="17" t="inlineStr">
        <is>
          <t>Objetivos del sitio web concretos y bien definidos</t>
        </is>
      </c>
      <c r="C3" s="56" t="n">
        <v>10</v>
      </c>
      <c r="D3" s="55">
        <f>IF(OR(TipoDeSitio="",C3="NA"),"",VLOOKUP(CONCATENATE(A3,": ",B3),Tabla621,MATCH(TipoDeSitio,Tipos,0)+1,0))</f>
        <v/>
      </c>
      <c r="E3" s="45" t="inlineStr">
        <is>
          <t>Los objetivos del servicio de traslados están claramente indicados en la landing.</t>
        </is>
      </c>
      <c r="F3" s="34">
        <f>IF(C3="","",VLOOKUP(C3,ValoresVC,2,0))</f>
        <v/>
      </c>
      <c r="G3" s="34">
        <f>IF(D3="","",VLOOKUP($D3,ValoresRC,2,0))</f>
        <v/>
      </c>
      <c r="H3" s="100">
        <f>IF(OR(G3="",G3=0,'Cálculo de % usabilidad'!$F$5=0),"",G3/'Cálculo de % usabilidad'!$F$5)</f>
        <v/>
      </c>
      <c r="I3" s="100">
        <f>IF(OR(H3="",F3=""),"",H3*F3)</f>
        <v/>
      </c>
      <c r="J3" s="101">
        <f>IF(H3="","",H3*10)</f>
        <v/>
      </c>
      <c r="M3" s="11" t="n"/>
    </row>
    <row r="4">
      <c r="A4" s="17" t="inlineStr">
        <is>
          <t>AG2</t>
        </is>
      </c>
      <c r="B4" s="17" t="inlineStr">
        <is>
          <t xml:space="preserve">Contenidos y servicios ofrecidos precisos y completos </t>
        </is>
      </c>
      <c r="C4" s="56" t="n">
        <v>10</v>
      </c>
      <c r="D4" s="55">
        <f>IF(OR(TipoDeSitio="",C4="NA"),"",VLOOKUP(CONCATENATE(A4,": ",B4),Tabla621,MATCH(TipoDeSitio,Tipos,0)+1,0))</f>
        <v/>
      </c>
      <c r="E4" s="45" t="inlineStr">
        <is>
          <t>Formulario de reserva, gestión y contacto cubren el flujo completo.</t>
        </is>
      </c>
      <c r="F4" s="34">
        <f>IF(C4="","",VLOOKUP(C4,ValoresVC,2,0))</f>
        <v/>
      </c>
      <c r="G4" s="34">
        <f>IF(D4="","",VLOOKUP($D4,ValoresRC,2,0))</f>
        <v/>
      </c>
      <c r="H4" s="100">
        <f>IF(OR(G4="",G4=0,'Cálculo de % usabilidad'!$F$5=0),"",G4/'Cálculo de % usabilidad'!$F$5)</f>
        <v/>
      </c>
      <c r="I4" s="100">
        <f>IF(OR(H4="",F4=""),"",H4*F4)</f>
        <v/>
      </c>
      <c r="J4" s="101">
        <f>IF(H4="","",H4*10)</f>
        <v/>
      </c>
      <c r="M4" s="11" t="n"/>
    </row>
    <row r="5">
      <c r="A5" s="17" t="inlineStr">
        <is>
          <t>AG3</t>
        </is>
      </c>
      <c r="B5" s="17" t="inlineStr">
        <is>
          <t xml:space="preserve">Estructura general del sitio web orientada al usuario </t>
        </is>
      </c>
      <c r="C5" s="56" t="n">
        <v>10</v>
      </c>
      <c r="D5" s="55">
        <f>IF(OR(TipoDeSitio="",C5="NA"),"",VLOOKUP(CONCATENATE(A5,": ",B5),Tabla621,MATCH(TipoDeSitio,Tipos,0)+1,0))</f>
        <v/>
      </c>
      <c r="E5" s="45" t="inlineStr">
        <is>
          <t>Menú global con 4 secciones lógicas: Inicio, Reservar, Mis Reservas, Contacto.</t>
        </is>
      </c>
      <c r="F5" s="34">
        <f>IF(C5="","",VLOOKUP(C5,ValoresVC,2,0))</f>
        <v/>
      </c>
      <c r="G5" s="34">
        <f>IF(D5="","",VLOOKUP($D5,ValoresRC,2,0))</f>
        <v/>
      </c>
      <c r="H5" s="100">
        <f>IF(OR(G5="",G5=0,'Cálculo de % usabilidad'!$F$5=0),"",G5/'Cálculo de % usabilidad'!$F$5)</f>
        <v/>
      </c>
      <c r="I5" s="100">
        <f>IF(OR(H5="",F5=""),"",H5*F5)</f>
        <v/>
      </c>
      <c r="J5" s="101">
        <f>IF(H5="","",H5*10)</f>
        <v/>
      </c>
      <c r="M5" s="11" t="n"/>
    </row>
    <row r="6">
      <c r="A6" s="17" t="inlineStr">
        <is>
          <t>AG4</t>
        </is>
      </c>
      <c r="B6" s="17" t="inlineStr">
        <is>
          <t>Look &amp; Feel general se corresponde con los objetivos, características, contenidos y servicios del sitio web</t>
        </is>
      </c>
      <c r="C6" s="56" t="n">
        <v>10</v>
      </c>
      <c r="D6" s="55">
        <f>IF(OR(TipoDeSitio="",C6="NA"),"",VLOOKUP(CONCATENATE(A6,": ",B6),Tabla621,MATCH(TipoDeSitio,Tipos,0)+1,0))</f>
        <v/>
      </c>
      <c r="E6" s="45" t="inlineStr">
        <is>
          <t>Estética de transporte profesional con Bootstrap azul corporativo.</t>
        </is>
      </c>
      <c r="F6" s="34">
        <f>IF(C6="","",VLOOKUP(C6,ValoresVC,2,0))</f>
        <v/>
      </c>
      <c r="G6" s="34">
        <f>IF(D6="","",VLOOKUP($D6,ValoresRC,2,0))</f>
        <v/>
      </c>
      <c r="H6" s="100">
        <f>IF(OR(G6="",G6=0,'Cálculo de % usabilidad'!$F$5=0),"",G6/'Cálculo de % usabilidad'!$F$5)</f>
        <v/>
      </c>
      <c r="I6" s="100">
        <f>IF(OR(H6="",F6=""),"",H6*F6)</f>
        <v/>
      </c>
      <c r="J6" s="101">
        <f>IF(H6="","",H6*10)</f>
        <v/>
      </c>
      <c r="M6" s="11" t="n"/>
    </row>
    <row r="7">
      <c r="A7" s="17" t="inlineStr">
        <is>
          <t>AG5</t>
        </is>
      </c>
      <c r="B7" s="17" t="inlineStr">
        <is>
          <t xml:space="preserve">Diseño general del sitio web reconocible </t>
        </is>
      </c>
      <c r="C7" s="56" t="n">
        <v>10</v>
      </c>
      <c r="D7" s="55">
        <f>IF(OR(TipoDeSitio="",C7="NA"),"",VLOOKUP(CONCATENATE(A7,": ",B7),Tabla621,MATCH(TipoDeSitio,Tipos,0)+1,0))</f>
        <v/>
      </c>
      <c r="E7" s="45" t="inlineStr">
        <is>
          <t>Logo de taxi + nombre de marca visible en todas las páginas.</t>
        </is>
      </c>
      <c r="F7" s="34">
        <f>IF(C7="","",VLOOKUP(C7,ValoresVC,2,0))</f>
        <v/>
      </c>
      <c r="G7" s="34">
        <f>IF(D7="","",VLOOKUP($D7,ValoresRC,2,0))</f>
        <v/>
      </c>
      <c r="H7" s="100">
        <f>IF(OR(G7="",G7=0,'Cálculo de % usabilidad'!$F$5=0),"",G7/'Cálculo de % usabilidad'!$F$5)</f>
        <v/>
      </c>
      <c r="I7" s="100">
        <f>IF(OR(H7="",F7=""),"",H7*F7)</f>
        <v/>
      </c>
      <c r="J7" s="101">
        <f>IF(H7="","",H7*10)</f>
        <v/>
      </c>
      <c r="M7" s="11" t="n"/>
    </row>
    <row r="8">
      <c r="A8" s="17" t="inlineStr">
        <is>
          <t>AG6</t>
        </is>
      </c>
      <c r="B8" s="17" t="inlineStr">
        <is>
          <t>Diseño general del sitio web coherente</t>
        </is>
      </c>
      <c r="C8" s="56" t="n">
        <v>10</v>
      </c>
      <c r="D8" s="55">
        <f>IF(OR(TipoDeSitio="",C8="NA"),"",VLOOKUP(CONCATENATE(A8,": ",B8),Tabla621,MATCH(TipoDeSitio,Tipos,0)+1,0))</f>
        <v/>
      </c>
      <c r="E8" s="45" t="inlineStr">
        <is>
          <t>Navbar, tipografía y paleta de color consistentes en todas las páginas.</t>
        </is>
      </c>
      <c r="F8" s="34">
        <f>IF(C8="","",VLOOKUP(C8,ValoresVC,2,0))</f>
        <v/>
      </c>
      <c r="G8" s="34">
        <f>IF(D8="","",VLOOKUP($D8,ValoresRC,2,0))</f>
        <v/>
      </c>
      <c r="H8" s="100">
        <f>IF(OR(G8="",G8=0,'Cálculo de % usabilidad'!$F$5=0),"",G8/'Cálculo de % usabilidad'!$F$5)</f>
        <v/>
      </c>
      <c r="I8" s="100">
        <f>IF(OR(H8="",F8=""),"",H8*F8)</f>
        <v/>
      </c>
      <c r="J8" s="101">
        <f>IF(H8="","",H8*10)</f>
        <v/>
      </c>
      <c r="M8" s="11" t="n"/>
    </row>
    <row r="9">
      <c r="A9" s="17" t="inlineStr">
        <is>
          <t>AG7</t>
        </is>
      </c>
      <c r="B9" s="17" t="inlineStr">
        <is>
          <t>Se utiliza el idioma del usuario</t>
        </is>
      </c>
      <c r="C9" s="56" t="n">
        <v>10</v>
      </c>
      <c r="D9" s="55">
        <f>IF(OR(TipoDeSitio="",C9="NA"),"",VLOOKUP(CONCATENATE(A9,": ",B9),Tabla621,MATCH(TipoDeSitio,Tipos,0)+1,0))</f>
        <v/>
      </c>
      <c r="E9" s="45" t="inlineStr">
        <is>
          <t>Todo el contenido está en español.</t>
        </is>
      </c>
      <c r="F9" s="34">
        <f>IF(C9="","",VLOOKUP(C9,ValoresVC,2,0))</f>
        <v/>
      </c>
      <c r="G9" s="34">
        <f>IF(D9="","",VLOOKUP($D9,ValoresRC,2,0))</f>
        <v/>
      </c>
      <c r="H9" s="100">
        <f>IF(OR(G9="",G9=0,'Cálculo de % usabilidad'!$F$5=0),"",G9/'Cálculo de % usabilidad'!$F$5)</f>
        <v/>
      </c>
      <c r="I9" s="100">
        <f>IF(OR(H9="",F9=""),"",H9*F9)</f>
        <v/>
      </c>
      <c r="J9" s="101">
        <f>IF(H9="","",H9*10)</f>
        <v/>
      </c>
      <c r="M9" s="11" t="n"/>
    </row>
    <row r="10">
      <c r="A10" s="17" t="inlineStr">
        <is>
          <t>AG8</t>
        </is>
      </c>
      <c r="B10" s="17" t="inlineStr">
        <is>
          <t xml:space="preserve">Se da soporte a otro/s idioma/s </t>
        </is>
      </c>
      <c r="C10" s="56" t="n">
        <v>10</v>
      </c>
      <c r="D10" s="55">
        <f>IF(OR(TipoDeSitio="",C10="NA"),"",VLOOKUP(CONCATENATE(A10,": ",B10),Tabla621,MATCH(TipoDeSitio,Tipos,0)+1,0))</f>
        <v/>
      </c>
      <c r="E10" s="45" t="inlineStr">
        <is>
          <t>Botón de cambio de idioma (lang-toggle) en la barra de navegación.</t>
        </is>
      </c>
      <c r="F10" s="34">
        <f>IF(C10="","",VLOOKUP(C10,ValoresVC,2,0))</f>
        <v/>
      </c>
      <c r="G10" s="34">
        <f>IF(D10="","",VLOOKUP($D10,ValoresRC,2,0))</f>
        <v/>
      </c>
      <c r="H10" s="100">
        <f>IF(OR(G10="",G10=0,'Cálculo de % usabilidad'!$F$5=0),"",G10/'Cálculo de % usabilidad'!$F$5)</f>
        <v/>
      </c>
      <c r="I10" s="100">
        <f>IF(OR(H10="",F10=""),"",H10*F10)</f>
        <v/>
      </c>
      <c r="J10" s="101">
        <f>IF(H10="","",H10*10)</f>
        <v/>
      </c>
      <c r="M10" s="11" t="n"/>
    </row>
    <row r="11">
      <c r="A11" s="17" t="inlineStr">
        <is>
          <t>AG9</t>
        </is>
      </c>
      <c r="B11" s="17" t="inlineStr">
        <is>
          <t xml:space="preserve">Traducción del sitio completa y correcta </t>
        </is>
      </c>
      <c r="C11" s="56" t="n">
        <v>10</v>
      </c>
      <c r="D11" s="55">
        <f>IF(OR(TipoDeSitio="",C11="NA"),"",VLOOKUP(CONCATENATE(A11,": ",B11),Tabla621,MATCH(TipoDeSitio,Tipos,0)+1,0))</f>
        <v/>
      </c>
      <c r="E11" s="45" t="inlineStr">
        <is>
          <t>Todos los textos usan atributos data-i18n con traducciones completas.</t>
        </is>
      </c>
      <c r="F11" s="34">
        <f>IF(C11="","",VLOOKUP(C11,ValoresVC,2,0))</f>
        <v/>
      </c>
      <c r="G11" s="34">
        <f>IF(D11="","",VLOOKUP($D11,ValoresRC,2,0))</f>
        <v/>
      </c>
      <c r="H11" s="100">
        <f>IF(OR(G11="",G11=0,'Cálculo de % usabilidad'!$F$5=0),"",G11/'Cálculo de % usabilidad'!$F$5)</f>
        <v/>
      </c>
      <c r="I11" s="100">
        <f>IF(OR(H11="",F11=""),"",H11*F11)</f>
        <v/>
      </c>
      <c r="J11" s="101">
        <f>IF(H11="","",H11*10)</f>
        <v/>
      </c>
      <c r="M11" s="11" t="n"/>
    </row>
    <row r="12" ht="15" customHeight="1" s="3" thickBot="1">
      <c r="A12" s="17" t="inlineStr">
        <is>
          <t>AG10</t>
        </is>
      </c>
      <c r="B12" s="17" t="inlineStr">
        <is>
          <t>Sitio web actualizado periódicamente</t>
        </is>
      </c>
      <c r="C12" s="56" t="inlineStr">
        <is>
          <t>NA</t>
        </is>
      </c>
      <c r="D12" s="55">
        <f>IF(OR(TipoDeSitio="",C12="NA"),"",VLOOKUP(CONCATENATE(A12,": ",B12),Tabla621,MATCH(TipoDeSitio,Tipos,0)+1,0))</f>
        <v/>
      </c>
      <c r="E12" s="45" t="inlineStr">
        <is>
          <t>Es un prototipo estático; no hay historial de actualizaciones.</t>
        </is>
      </c>
      <c r="F12" s="34">
        <f>IF(C12="","",VLOOKUP(C12,ValoresVC,2,0))</f>
        <v/>
      </c>
      <c r="G12" s="34">
        <f>IF(D12="","",VLOOKUP($D12,ValoresRC,2,0))</f>
        <v/>
      </c>
      <c r="H12" s="100">
        <f>IF(OR(G12="",G12=0,'Cálculo de % usabilidad'!$F$5=0),"",G12/'Cálculo de % usabilidad'!$F$5)</f>
        <v/>
      </c>
      <c r="I12" s="100">
        <f>IF(OR(H12="",F12=""),"",H12*F12)</f>
        <v/>
      </c>
      <c r="J12" s="101">
        <f>IF(H12="","",H12*10)</f>
        <v/>
      </c>
      <c r="K12" t="inlineStr">
        <is>
          <t>Núm.elementos evaluados</t>
        </is>
      </c>
      <c r="L12" s="12">
        <f>10-(COUNTIF(C3:C12,"NA")+COUNTBLANK(C3:C12))</f>
        <v/>
      </c>
      <c r="M12" t="inlineStr">
        <is>
          <t xml:space="preserve"> (no contabiliza ni los vacíos ni los NA)</t>
        </is>
      </c>
    </row>
    <row r="13" ht="15" customHeight="1" s="3" thickBot="1">
      <c r="G13" s="50">
        <f>IF(SUM(G3:G12)=0,"",SUM(G3:G12))</f>
        <v/>
      </c>
    </row>
    <row r="14">
      <c r="A14" s="1" t="inlineStr">
        <is>
          <t>Instrucciones</t>
        </is>
      </c>
      <c r="C14" s="8" t="inlineStr">
        <is>
          <t>Leyenda Valor</t>
        </is>
      </c>
      <c r="D14" s="9" t="n"/>
      <c r="E14" s="9" t="n"/>
      <c r="F14" s="9" t="n"/>
      <c r="G14" s="9" t="n"/>
      <c r="H14" s="9" t="n"/>
      <c r="I14" s="9" t="n"/>
      <c r="J14" s="9" t="n"/>
    </row>
    <row r="15">
      <c r="A15" t="inlineStr">
        <is>
          <t>1. Evalue cada criterio y rellene la columna "Valor" según la leyenda</t>
        </is>
      </c>
      <c r="C15" s="10" t="n">
        <v>0</v>
      </c>
      <c r="D15" s="9" t="inlineStr">
        <is>
          <t>No se cumple en absoluto</t>
        </is>
      </c>
      <c r="E15" s="9" t="n"/>
      <c r="F15" s="10" t="inlineStr">
        <is>
          <t>NEP</t>
        </is>
      </c>
      <c r="G15" s="9" t="inlineStr">
        <is>
          <t>No se cumple en los enlaces principales</t>
        </is>
      </c>
      <c r="H15" s="9" t="n"/>
      <c r="I15" s="9" t="n"/>
      <c r="J15" s="9" t="n"/>
    </row>
    <row r="16">
      <c r="A16" t="inlineStr">
        <is>
          <t>2. Añada sus comentarios o la referencia a los mismos en otro documento anexo en la columna "Comentarios"</t>
        </is>
      </c>
      <c r="C16" s="10" t="n">
        <v>10</v>
      </c>
      <c r="D16" s="9" t="inlineStr">
        <is>
          <t>Se cumple totalmente</t>
        </is>
      </c>
      <c r="E16" s="9" t="n"/>
      <c r="F16" s="10" t="inlineStr">
        <is>
          <t xml:space="preserve">NPP </t>
        </is>
      </c>
      <c r="G16" s="9" t="inlineStr">
        <is>
          <t>No se cumple en la página principal</t>
        </is>
      </c>
      <c r="H16" s="9" t="n"/>
      <c r="I16" s="9" t="n"/>
      <c r="J16" s="9" t="n"/>
    </row>
    <row r="17">
      <c r="C17" s="10" t="inlineStr">
        <is>
          <t>NA</t>
        </is>
      </c>
      <c r="D17" s="9" t="inlineStr">
        <is>
          <t>Criterio no aplicable en el sitio</t>
        </is>
      </c>
      <c r="E17" s="9" t="n"/>
      <c r="F17" s="10" t="inlineStr">
        <is>
          <t>NPI</t>
        </is>
      </c>
      <c r="G17" s="9" t="inlineStr">
        <is>
          <t>No se cumple en alguna página interior</t>
        </is>
      </c>
      <c r="H17" s="9" t="n"/>
      <c r="I17" s="9" t="n"/>
      <c r="J17" s="9" t="n"/>
    </row>
    <row r="18">
      <c r="C18" s="10" t="inlineStr">
        <is>
          <t xml:space="preserve">NTS </t>
        </is>
      </c>
      <c r="D18" s="9" t="inlineStr">
        <is>
          <t>No se cumple en todo el sitio</t>
        </is>
      </c>
      <c r="E18" s="9" t="n"/>
      <c r="F18" s="10" t="inlineStr">
        <is>
          <t xml:space="preserve">S </t>
        </is>
      </c>
      <c r="G18" s="9" t="inlineStr">
        <is>
          <t>Se cumple el criterio</t>
        </is>
      </c>
      <c r="H18" s="9" t="n"/>
      <c r="I18" s="9" t="n"/>
      <c r="J18" s="9" t="n"/>
    </row>
    <row r="19"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C20" s="11" t="n"/>
      <c r="D20" s="11" t="n"/>
      <c r="E20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mergeCells count="1">
    <mergeCell ref="A1:G1"/>
  </mergeCells>
  <dataValidations count="2">
    <dataValidation sqref="C3:C8" showDropDown="0" showInputMessage="1" showErrorMessage="1" allowBlank="1" type="list">
      <formula1>Valores1</formula1>
    </dataValidation>
    <dataValidation sqref="C9:C12" showDropDown="0" showInputMessage="1" showErrorMessage="1" allowBlank="1" type="list">
      <formula1>Valores2</formula1>
    </dataValidation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M17"/>
  <sheetViews>
    <sheetView showGridLines="0" zoomScaleNormal="100" workbookViewId="0">
      <selection activeCell="B1" sqref="B1"/>
    </sheetView>
  </sheetViews>
  <sheetFormatPr baseColWidth="10" defaultRowHeight="14.4"/>
  <cols>
    <col width="90.44140625" customWidth="1" style="3" min="2" max="2"/>
    <col width="11.6640625" customWidth="1" style="3" min="3" max="3"/>
    <col width="13.33203125" customWidth="1" style="3" min="4" max="4"/>
    <col width="34.109375" customWidth="1" style="3" min="5" max="5"/>
    <col width="16.33203125" customWidth="1" style="3" min="6" max="6"/>
    <col width="29.44140625" customWidth="1" style="3" min="7" max="7"/>
    <col width="26.6640625" customWidth="1" style="3" min="8" max="10"/>
    <col width="25.109375" customWidth="1" style="3" min="11" max="11"/>
    <col width="3.5546875" customWidth="1" style="3" min="12" max="12"/>
  </cols>
  <sheetData>
    <row r="1" ht="36.75" customHeight="1" s="3">
      <c r="A1" s="4" t="inlineStr">
        <is>
          <t xml:space="preserve">CRITERIOS DEL "IDENTIDAD E INFORMACIÓN": Elementos relacionados con la identidad del sitio, la información proporcionada sobre el proveedor y la autoría de los contenidos. 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17" t="inlineStr">
        <is>
          <t>II.1</t>
        </is>
      </c>
      <c r="B3" s="17" t="inlineStr">
        <is>
          <t>Identidad o logotipo significativo, identificable y suficientemente visible</t>
        </is>
      </c>
      <c r="C3" s="54" t="n">
        <v>10</v>
      </c>
      <c r="D3" s="55">
        <f>IF(OR(TipoDeSitio="",C3="NA"),"",VLOOKUP(CONCATENATE(A3,": ",B3),Tabla622,MATCH(TipoDeSitio,Tipos,0)+1,0))</f>
        <v/>
      </c>
      <c r="E3" s="45" t="inlineStr">
        <is>
          <t>Logo SVG de taxi + nombre "Taxi Transfer Tenerife" en la barra superior.</t>
        </is>
      </c>
      <c r="F3" s="19">
        <f>IF(C3="","",VLOOKUP(C3,ValoresVC,2,0))</f>
        <v/>
      </c>
      <c r="G3" s="34">
        <f>IF(D3="","",VLOOKUP($D3,ValoresRC,2,0))</f>
        <v/>
      </c>
      <c r="H3" s="100">
        <f>IF(OR(G3="",G3=0,'Cálculo de % usabilidad'!$F$5=0),"",G3/'Cálculo de % usabilidad'!$F$5)</f>
        <v/>
      </c>
      <c r="I3" s="100">
        <f>IF(OR(H3="",F3=""),"",H3*F3)</f>
        <v/>
      </c>
      <c r="J3" s="101">
        <f>IF(H3="","",H3*10)</f>
        <v/>
      </c>
      <c r="K3" s="11" t="n"/>
    </row>
    <row r="4">
      <c r="A4" s="17" t="inlineStr">
        <is>
          <t>II.2</t>
        </is>
      </c>
      <c r="B4" s="17" t="inlineStr">
        <is>
          <t>Identidad del sitio en todas las páginas</t>
        </is>
      </c>
      <c r="C4" s="54" t="n">
        <v>10</v>
      </c>
      <c r="D4" s="55">
        <f>IF(OR(TipoDeSitio="",C4="NA"),"",VLOOKUP(CONCATENATE(A4,": ",B4),Tabla622,MATCH(TipoDeSitio,Tipos,0)+1,0))</f>
        <v/>
      </c>
      <c r="E4" s="45" t="inlineStr">
        <is>
          <t>Navbar fija con logo y nombre en todas las páginas.</t>
        </is>
      </c>
      <c r="F4" s="19">
        <f>IF(C4="","",VLOOKUP(C4,ValoresVC,2,0))</f>
        <v/>
      </c>
      <c r="G4" s="34">
        <f>IF(D4="","",VLOOKUP($D4,ValoresRC,2,0))</f>
        <v/>
      </c>
      <c r="H4" s="100">
        <f>IF(OR(G4="",G4=0,'Cálculo de % usabilidad'!$F$5=0),"",G4/'Cálculo de % usabilidad'!$F$5)</f>
        <v/>
      </c>
      <c r="I4" s="100">
        <f>IF(OR(H4="",F4=""),"",H4*F4)</f>
        <v/>
      </c>
      <c r="J4" s="101">
        <f>IF(H4="","",H4*10)</f>
        <v/>
      </c>
      <c r="K4" s="11" t="n"/>
    </row>
    <row r="5">
      <c r="A5" s="17" t="inlineStr">
        <is>
          <t>II.3</t>
        </is>
      </c>
      <c r="B5" s="17" t="inlineStr">
        <is>
          <t>Eslogan o tagline adecuado al objetivo del sitio</t>
        </is>
      </c>
      <c r="C5" s="54" t="n">
        <v>10</v>
      </c>
      <c r="D5" s="55">
        <f>IF(OR(TipoDeSitio="",C5="NA"),"",VLOOKUP(CONCATENATE(A5,": ",B5),Tabla622,MATCH(TipoDeSitio,Tipos,0)+1,0))</f>
        <v/>
      </c>
      <c r="E5" s="45" t="inlineStr">
        <is>
          <t>"Traslados desde el Aeropuerto de Tenerife Sur" en la sección hero.</t>
        </is>
      </c>
      <c r="F5" s="19">
        <f>IF(C5="","",VLOOKUP(C5,ValoresVC,2,0))</f>
        <v/>
      </c>
      <c r="G5" s="34">
        <f>IF(D5="","",VLOOKUP($D5,ValoresRC,2,0))</f>
        <v/>
      </c>
      <c r="H5" s="100">
        <f>IF(OR(G5="",G5=0,'Cálculo de % usabilidad'!$F$5=0),"",G5/'Cálculo de % usabilidad'!$F$5)</f>
        <v/>
      </c>
      <c r="I5" s="100">
        <f>IF(OR(H5="",F5=""),"",H5*F5)</f>
        <v/>
      </c>
      <c r="J5" s="101">
        <f>IF(H5="","",H5*10)</f>
        <v/>
      </c>
      <c r="K5" s="11" t="n"/>
    </row>
    <row r="6">
      <c r="A6" s="17" t="inlineStr">
        <is>
          <t>II.4</t>
        </is>
      </c>
      <c r="B6" s="17" t="inlineStr">
        <is>
          <t>Se ofrece información sobre el sitio web, empresa</t>
        </is>
      </c>
      <c r="C6" s="54" t="n">
        <v>8</v>
      </c>
      <c r="D6" s="55">
        <f>IF(OR(TipoDeSitio="",C6="NA"),"",VLOOKUP(CONCATENATE(A6,": ",B6),Tabla622,MATCH(TipoDeSitio,Tipos,0)+1,0))</f>
        <v/>
      </c>
      <c r="E6" s="45" t="inlineStr">
        <is>
          <t>Página de contacto incluye dirección, teléfono y email corporativo.</t>
        </is>
      </c>
      <c r="F6" s="19">
        <f>IF(C6="","",VLOOKUP(C6,ValoresVC,2,0))</f>
        <v/>
      </c>
      <c r="G6" s="34">
        <f>IF(D6="","",VLOOKUP($D6,ValoresRC,2,0))</f>
        <v/>
      </c>
      <c r="H6" s="100">
        <f>IF(OR(G6="",G6=0,'Cálculo de % usabilidad'!$F$5=0),"",G6/'Cálculo de % usabilidad'!$F$5)</f>
        <v/>
      </c>
      <c r="I6" s="100">
        <f>IF(OR(H6="",F6=""),"",H6*F6)</f>
        <v/>
      </c>
      <c r="J6" s="101">
        <f>IF(H6="","",H6*10)</f>
        <v/>
      </c>
      <c r="K6" s="11" t="n"/>
    </row>
    <row r="7">
      <c r="A7" s="17" t="inlineStr">
        <is>
          <t>II.5</t>
        </is>
      </c>
      <c r="B7" s="17" t="inlineStr">
        <is>
          <t>Existen mecanismos de contacto</t>
        </is>
      </c>
      <c r="C7" s="54" t="n">
        <v>10</v>
      </c>
      <c r="D7" s="55">
        <f>IF(OR(TipoDeSitio="",C7="NA"),"",VLOOKUP(CONCATENATE(A7,": ",B7),Tabla622,MATCH(TipoDeSitio,Tipos,0)+1,0))</f>
        <v/>
      </c>
      <c r="E7" s="45" t="inlineStr">
        <is>
          <t>Página de contacto con formulario, tel: y mailto: clicables.</t>
        </is>
      </c>
      <c r="F7" s="19">
        <f>IF(C7="","",VLOOKUP(C7,ValoresVC,2,0))</f>
        <v/>
      </c>
      <c r="G7" s="34">
        <f>IF(D7="","",VLOOKUP($D7,ValoresRC,2,0))</f>
        <v/>
      </c>
      <c r="H7" s="100">
        <f>IF(OR(G7="",G7=0,'Cálculo de % usabilidad'!$F$5=0),"",G7/'Cálculo de % usabilidad'!$F$5)</f>
        <v/>
      </c>
      <c r="I7" s="100">
        <f>IF(OR(H7="",F7=""),"",H7*F7)</f>
        <v/>
      </c>
      <c r="J7" s="101">
        <f>IF(H7="","",H7*10)</f>
        <v/>
      </c>
      <c r="K7" s="11" t="n"/>
    </row>
    <row r="8" ht="28.8" customHeight="1" s="3">
      <c r="A8" s="17" t="inlineStr">
        <is>
          <t>II.6</t>
        </is>
      </c>
      <c r="B8" s="18" t="inlineStr">
        <is>
          <t>Se ofrece información sobre la protección de datos de carácter personal o los
derechos de autor de los contenidos del sitio web</t>
        </is>
      </c>
      <c r="C8" s="54" t="n">
        <v>0</v>
      </c>
      <c r="D8" s="55">
        <f>IF(OR(TipoDeSitio="",C8="NA"),"",VLOOKUP(CONCATENATE(A8,": ",B8),Tabla622,MATCH(TipoDeSitio,Tipos,0)+1,0))</f>
        <v/>
      </c>
      <c r="E8" s="45" t="inlineStr">
        <is>
          <t>No existe enlace a Política de Privacidad ni aviso legal.</t>
        </is>
      </c>
      <c r="F8" s="19">
        <f>IF(C8="","",VLOOKUP(C8,ValoresVC,2,0))</f>
        <v/>
      </c>
      <c r="G8" s="34">
        <f>IF(D8="","",VLOOKUP($D8,ValoresRC,2,0))</f>
        <v/>
      </c>
      <c r="H8" s="100">
        <f>IF(OR(G8="",G8=0,'Cálculo de % usabilidad'!$F$5=0),"",G8/'Cálculo de % usabilidad'!$F$5)</f>
        <v/>
      </c>
      <c r="I8" s="100">
        <f>IF(OR(H8="",F8=""),"",H8*F8)</f>
        <v/>
      </c>
      <c r="J8" s="101">
        <f>IF(H8="","",H8*10)</f>
        <v/>
      </c>
      <c r="K8" s="11" t="n"/>
    </row>
    <row r="9" ht="29.4" customHeight="1" s="3" thickBot="1">
      <c r="A9" s="17" t="inlineStr">
        <is>
          <t>II.7</t>
        </is>
      </c>
      <c r="B9" s="18" t="inlineStr">
        <is>
          <t>Se ofrece información sobre el autor, fuentes y fechas de creación y revisión
en artículos, noticias, informes</t>
        </is>
      </c>
      <c r="C9" s="54" t="inlineStr">
        <is>
          <t>NA</t>
        </is>
      </c>
      <c r="D9" s="55">
        <f>IF(OR(TipoDeSitio="",C9="NA"),"",VLOOKUP(CONCATENATE(A9,": ",B9),Tabla622,MATCH(TipoDeSitio,Tipos,0)+1,0))</f>
        <v/>
      </c>
      <c r="E9" s="45" t="inlineStr">
        <is>
          <t>El sitio no publica artículos ni noticias.</t>
        </is>
      </c>
      <c r="F9" s="19">
        <f>IF(C9="","",VLOOKUP(C9,ValoresVC,2,0))</f>
        <v/>
      </c>
      <c r="G9" s="34">
        <f>IF(D9="","",VLOOKUP($D9,ValoresRC,2,0))</f>
        <v/>
      </c>
      <c r="H9" s="100">
        <f>IF(OR(G9="",G9=0,'Cálculo de % usabilidad'!$F$5=0),"",G9/'Cálculo de % usabilidad'!$F$5)</f>
        <v/>
      </c>
      <c r="I9" s="100">
        <f>IF(OR(H9="",F9=""),"",H9*F9)</f>
        <v/>
      </c>
      <c r="J9" s="101">
        <f>IF(H9="","",H9*10)</f>
        <v/>
      </c>
      <c r="K9" t="inlineStr">
        <is>
          <t>Núm.elementos evaluados</t>
        </is>
      </c>
      <c r="L9" s="12">
        <f>7-(COUNTIF(C3:C9,"NA")+COUNTBLANK(C3:C9))</f>
        <v/>
      </c>
      <c r="M9" t="inlineStr">
        <is>
          <t xml:space="preserve"> (no contabiliza ni los vacíos ni los NA)</t>
        </is>
      </c>
    </row>
    <row r="10" ht="15" customHeight="1" s="3" thickBot="1">
      <c r="G10" s="50">
        <f>IF(SUM(G3:G9)=0,"",SUM(G3:G9))</f>
        <v/>
      </c>
    </row>
    <row r="11">
      <c r="A11" s="1" t="inlineStr">
        <is>
          <t>Instrucciones</t>
        </is>
      </c>
      <c r="C11" s="8" t="inlineStr">
        <is>
          <t>Leyenda Valor</t>
        </is>
      </c>
      <c r="D11" s="9" t="n"/>
      <c r="E11" s="9" t="n"/>
      <c r="F11" s="9" t="n"/>
      <c r="G11" s="9" t="n"/>
      <c r="H11" s="9" t="n"/>
      <c r="I11" s="9" t="n"/>
      <c r="J11" s="9" t="n"/>
    </row>
    <row r="12">
      <c r="A12" t="inlineStr">
        <is>
          <t>1. Evalue cada criterio y rellene la columna "Valor" según la leyenda</t>
        </is>
      </c>
      <c r="C12" s="10" t="n">
        <v>0</v>
      </c>
      <c r="D12" s="9" t="inlineStr">
        <is>
          <t>No se cumple en absoluto</t>
        </is>
      </c>
      <c r="E12" s="9" t="n"/>
      <c r="F12" s="10" t="inlineStr">
        <is>
          <t>NEP</t>
        </is>
      </c>
      <c r="G12" s="9" t="inlineStr">
        <is>
          <t>No se cumple en los enlaces principales</t>
        </is>
      </c>
      <c r="H12" s="9" t="n"/>
      <c r="I12" s="9" t="n"/>
      <c r="J12" s="9" t="n"/>
    </row>
    <row r="13">
      <c r="A13" t="inlineStr">
        <is>
          <t>2. Añada sus comentarios o la referencia a los mismos en otro documento anexo en la columna "Comentarios"</t>
        </is>
      </c>
      <c r="C13" s="10" t="n">
        <v>10</v>
      </c>
      <c r="D13" s="9" t="inlineStr">
        <is>
          <t>Se cumple totalmente</t>
        </is>
      </c>
      <c r="E13" s="9" t="n"/>
      <c r="F13" s="10" t="inlineStr">
        <is>
          <t xml:space="preserve">NPP </t>
        </is>
      </c>
      <c r="G13" s="9" t="inlineStr">
        <is>
          <t>No se cumple en la página principal</t>
        </is>
      </c>
      <c r="H13" s="9" t="n"/>
      <c r="I13" s="9" t="n"/>
      <c r="J13" s="9" t="n"/>
    </row>
    <row r="14">
      <c r="C14" s="10" t="inlineStr">
        <is>
          <t>NA</t>
        </is>
      </c>
      <c r="D14" s="9" t="inlineStr">
        <is>
          <t>Criterio no aplicable en el sitio</t>
        </is>
      </c>
      <c r="E14" s="9" t="n"/>
      <c r="F14" s="10" t="inlineStr">
        <is>
          <t>NPI</t>
        </is>
      </c>
      <c r="G14" s="9" t="inlineStr">
        <is>
          <t>No se cumple en alguna página interior</t>
        </is>
      </c>
      <c r="H14" s="9" t="n"/>
      <c r="I14" s="9" t="n"/>
      <c r="J14" s="9" t="n"/>
    </row>
    <row r="15">
      <c r="C15" s="10" t="inlineStr">
        <is>
          <t xml:space="preserve">NTS </t>
        </is>
      </c>
      <c r="D15" s="9" t="inlineStr">
        <is>
          <t>No se cumple en todo el sitio</t>
        </is>
      </c>
      <c r="E15" s="9" t="n"/>
      <c r="F15" s="10" t="inlineStr">
        <is>
          <t xml:space="preserve">S </t>
        </is>
      </c>
      <c r="G15" s="9" t="inlineStr">
        <is>
          <t>Se cumple el criterio</t>
        </is>
      </c>
      <c r="H15" s="9" t="n"/>
      <c r="I15" s="9" t="n"/>
      <c r="J15" s="9" t="n"/>
    </row>
    <row r="16"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C17" s="11" t="n"/>
      <c r="D17" s="11" t="n"/>
      <c r="E17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dataValidations count="2">
    <dataValidation sqref="C4 C6:C9" showDropDown="0" showInputMessage="1" showErrorMessage="1" allowBlank="1" type="list">
      <formula1>Valores2</formula1>
    </dataValidation>
    <dataValidation sqref="C3 C5" showDropDown="0" showInputMessage="1" showErrorMessage="1" allowBlank="1" type="list">
      <formula1>Valores1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Hoja4">
    <outlinePr summaryBelow="1" summaryRight="1"/>
    <pageSetUpPr/>
  </sheetPr>
  <dimension ref="A1:M24"/>
  <sheetViews>
    <sheetView showGridLines="0" workbookViewId="0">
      <selection activeCell="B1" sqref="B1"/>
    </sheetView>
  </sheetViews>
  <sheetFormatPr baseColWidth="10" defaultRowHeight="14.4"/>
  <cols>
    <col width="89" customWidth="1" style="3" min="2" max="2"/>
    <col width="13.33203125" customWidth="1" style="3" min="4" max="4"/>
    <col width="34.109375" customWidth="1" style="3" min="5" max="5"/>
    <col width="16.109375" customWidth="1" style="3" min="6" max="6"/>
    <col width="29.88671875" customWidth="1" style="3" min="7" max="7"/>
    <col width="24.33203125" customWidth="1" style="3" min="8" max="10"/>
    <col width="26.109375" customWidth="1" style="3" min="11" max="11"/>
    <col width="4.5546875" customWidth="1" style="3" min="12" max="12"/>
  </cols>
  <sheetData>
    <row r="1" ht="36.75" customHeight="1" s="3">
      <c r="A1" s="4" t="inlineStr">
        <is>
          <t>CRITERIOS DEL "ESTRUCTURA Y NAVEGACIÓN": Elementos relacionados con la idoneidad de la arquitectura de la información y la navegación del sitio.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59" t="inlineStr">
        <is>
          <t>EN.1</t>
        </is>
      </c>
      <c r="B3" s="59" t="inlineStr">
        <is>
          <t>Se ha evitado pantalla de bienvenida</t>
        </is>
      </c>
      <c r="C3" s="51" t="n">
        <v>10</v>
      </c>
      <c r="D3" s="52">
        <f>IF(OR(TipoDeSitio="",C3="NA"),"",VLOOKUP(CONCATENATE(A3,": ",B3),Tabla623,MATCH(TipoDeSitio,Tipos,0)+1,0))</f>
        <v/>
      </c>
      <c r="E3" s="44" t="inlineStr">
        <is>
          <t>El sitio abre directamente en la landing sin pantalla intermedia.</t>
        </is>
      </c>
      <c r="F3" s="22">
        <f>IF(C3="","",VLOOKUP(C3,ValoresVC,2,0))</f>
        <v/>
      </c>
      <c r="G3" s="37">
        <f>IF(D3="","",VLOOKUP($D3,ValoresRC,2,0))</f>
        <v/>
      </c>
      <c r="H3" s="102">
        <f>IF(OR(G3="",G3=0,'Cálculo de % usabilidad'!$F$5=0),"",G3/'Cálculo de % usabilidad'!$F$5)</f>
        <v/>
      </c>
      <c r="I3" s="102">
        <f>IF(OR(H3="",F3=""),"",H3*F3)</f>
        <v/>
      </c>
      <c r="J3" s="103">
        <f>IF(H3="","",H3*10)</f>
        <v/>
      </c>
      <c r="K3" s="11" t="n"/>
    </row>
    <row r="4">
      <c r="A4" s="59" t="inlineStr">
        <is>
          <t>EN.2</t>
        </is>
      </c>
      <c r="B4" s="59" t="inlineStr">
        <is>
          <t>Estructura de organización y navegación adecuada</t>
        </is>
      </c>
      <c r="C4" s="51" t="n">
        <v>10</v>
      </c>
      <c r="D4" s="52">
        <f>IF(OR(TipoDeSitio="",C4="NA"),"",VLOOKUP(CONCATENATE(A4,": ",B4),Tabla623,MATCH(TipoDeSitio,Tipos,0)+1,0))</f>
        <v/>
      </c>
      <c r="E4" s="44" t="inlineStr">
        <is>
          <t>Flujo lineal: inicio → reserva → confirmación → pago → gestión.</t>
        </is>
      </c>
      <c r="F4" s="22">
        <f>IF(C4="","",VLOOKUP(C4,ValoresVC,2,0))</f>
        <v/>
      </c>
      <c r="G4" s="37">
        <f>IF(D4="","",VLOOKUP($D4,ValoresRC,2,0))</f>
        <v/>
      </c>
      <c r="H4" s="102">
        <f>IF(OR(G4="",G4=0,'Cálculo de % usabilidad'!$F$5=0),"",G4/'Cálculo de % usabilidad'!$F$5)</f>
        <v/>
      </c>
      <c r="I4" s="102">
        <f>IF(OR(H4="",F4=""),"",H4*F4)</f>
        <v/>
      </c>
      <c r="J4" s="103">
        <f>IF(H4="","",H4*10)</f>
        <v/>
      </c>
      <c r="K4" s="11" t="n"/>
    </row>
    <row r="5">
      <c r="A5" s="59" t="inlineStr">
        <is>
          <t>EN.3</t>
        </is>
      </c>
      <c r="B5" s="59" t="inlineStr">
        <is>
          <t>Organización de elementos consistente con las convenciones</t>
        </is>
      </c>
      <c r="C5" s="51" t="n">
        <v>10</v>
      </c>
      <c r="D5" s="52">
        <f>IF(OR(TipoDeSitio="",C5="NA"),"",VLOOKUP(CONCATENATE(A5,": ",B5),Tabla623,MATCH(TipoDeSitio,Tipos,0)+1,0))</f>
        <v/>
      </c>
      <c r="E5" s="44" t="inlineStr">
        <is>
          <t>Navbar fija con convención estándar Bootstrap en la parte superior.</t>
        </is>
      </c>
      <c r="F5" s="22">
        <f>IF(C5="","",VLOOKUP(C5,ValoresVC,2,0))</f>
        <v/>
      </c>
      <c r="G5" s="37">
        <f>IF(D5="","",VLOOKUP($D5,ValoresRC,2,0))</f>
        <v/>
      </c>
      <c r="H5" s="102">
        <f>IF(OR(G5="",G5=0,'Cálculo de % usabilidad'!$F$5=0),"",G5/'Cálculo de % usabilidad'!$F$5)</f>
        <v/>
      </c>
      <c r="I5" s="102">
        <f>IF(OR(H5="",F5=""),"",H5*F5)</f>
        <v/>
      </c>
      <c r="J5" s="103">
        <f>IF(H5="","",H5*10)</f>
        <v/>
      </c>
      <c r="K5" s="11" t="n"/>
    </row>
    <row r="6">
      <c r="A6" s="59" t="inlineStr">
        <is>
          <t>EN.4</t>
        </is>
      </c>
      <c r="B6" s="58" t="inlineStr">
        <is>
          <t>Control del número de elementos y de términos por elemento en los menús de navegación</t>
        </is>
      </c>
      <c r="C6" s="51" t="n">
        <v>10</v>
      </c>
      <c r="D6" s="52">
        <f>IF(OR(TipoDeSitio="",C6="NA"),"",VLOOKUP(CONCATENATE(A6,": ",B6),Tabla623,MATCH(TipoDeSitio,Tipos,0)+1,0))</f>
        <v/>
      </c>
      <c r="E6" s="44" t="inlineStr">
        <is>
          <t>Menú con exactamente 4 elementos: Inicio, Reservar, Mis Reservas, Contacto.</t>
        </is>
      </c>
      <c r="F6" s="22">
        <f>IF(C6="","",VLOOKUP(C6,ValoresVC,2,0))</f>
        <v/>
      </c>
      <c r="G6" s="37">
        <f>IF(D6="","",VLOOKUP($D6,ValoresRC,2,0))</f>
        <v/>
      </c>
      <c r="H6" s="102">
        <f>IF(OR(G6="",G6=0,'Cálculo de % usabilidad'!$F$5=0),"",G6/'Cálculo de % usabilidad'!$F$5)</f>
        <v/>
      </c>
      <c r="I6" s="102">
        <f>IF(OR(H6="",F6=""),"",H6*F6)</f>
        <v/>
      </c>
      <c r="J6" s="103">
        <f>IF(H6="","",H6*10)</f>
        <v/>
      </c>
      <c r="K6" s="11" t="n"/>
    </row>
    <row r="7">
      <c r="A7" s="59" t="inlineStr">
        <is>
          <t>EN.5</t>
        </is>
      </c>
      <c r="B7" s="58" t="inlineStr">
        <is>
          <t>Equilibrio entre profundidad y anchura en el caso de estructura jerárquica</t>
        </is>
      </c>
      <c r="C7" s="51" t="n">
        <v>10</v>
      </c>
      <c r="D7" s="52">
        <f>IF(OR(TipoDeSitio="",C7="NA"),"",VLOOKUP(CONCATENATE(A7,": ",B7),Tabla623,MATCH(TipoDeSitio,Tipos,0)+1,0))</f>
        <v/>
      </c>
      <c r="E7" s="44" t="inlineStr">
        <is>
          <t>Jerarquía de un nivel de profundidad; todos los destinos accesibles desde la landing.</t>
        </is>
      </c>
      <c r="F7" s="22">
        <f>IF(C7="","",VLOOKUP(C7,ValoresVC,2,0))</f>
        <v/>
      </c>
      <c r="G7" s="37">
        <f>IF(D7="","",VLOOKUP($D7,ValoresRC,2,0))</f>
        <v/>
      </c>
      <c r="H7" s="102">
        <f>IF(OR(G7="",G7=0,'Cálculo de % usabilidad'!$F$5=0),"",G7/'Cálculo de % usabilidad'!$F$5)</f>
        <v/>
      </c>
      <c r="I7" s="102">
        <f>IF(OR(H7="",F7=""),"",H7*F7)</f>
        <v/>
      </c>
      <c r="J7" s="103">
        <f>IF(H7="","",H7*10)</f>
        <v/>
      </c>
      <c r="K7" s="11" t="n"/>
    </row>
    <row r="8">
      <c r="A8" s="59" t="inlineStr">
        <is>
          <t>EN.6</t>
        </is>
      </c>
      <c r="B8" s="58" t="inlineStr">
        <is>
          <t>Enlaces fácilmente reconocibles como tales</t>
        </is>
      </c>
      <c r="C8" s="51" t="n">
        <v>10</v>
      </c>
      <c r="D8" s="52">
        <f>IF(OR(TipoDeSitio="",C8="NA"),"",VLOOKUP(CONCATENATE(A8,": ",B8),Tabla623,MATCH(TipoDeSitio,Tipos,0)+1,0))</f>
        <v/>
      </c>
      <c r="E8" s="44" t="inlineStr">
        <is>
          <t>Los enlaces de navegación son texto azul subrayado y botones Bootstrap estándar.</t>
        </is>
      </c>
      <c r="F8" s="22">
        <f>IF(C8="","",VLOOKUP(C8,ValoresVC,2,0))</f>
        <v/>
      </c>
      <c r="G8" s="37">
        <f>IF(D8="","",VLOOKUP($D8,ValoresRC,2,0))</f>
        <v/>
      </c>
      <c r="H8" s="102">
        <f>IF(OR(G8="",G8=0,'Cálculo de % usabilidad'!$F$5=0),"",G8/'Cálculo de % usabilidad'!$F$5)</f>
        <v/>
      </c>
      <c r="I8" s="102">
        <f>IF(OR(H8="",F8=""),"",H8*F8)</f>
        <v/>
      </c>
      <c r="J8" s="103">
        <f>IF(H8="","",H8*10)</f>
        <v/>
      </c>
      <c r="K8" s="11" t="n"/>
    </row>
    <row r="9">
      <c r="A9" s="59" t="inlineStr">
        <is>
          <t>EN.7</t>
        </is>
      </c>
      <c r="B9" s="58" t="inlineStr">
        <is>
          <t>La caracterización de los enlaces indica su estado (visitados, activos)</t>
        </is>
      </c>
      <c r="C9" s="51" t="n">
        <v>10</v>
      </c>
      <c r="D9" s="52">
        <f>IF(OR(TipoDeSitio="",C9="NA"),"",VLOOKUP(CONCATENATE(A9,": ",B9),Tabla623,MATCH(TipoDeSitio,Tipos,0)+1,0))</f>
        <v/>
      </c>
      <c r="E9" s="44" t="inlineStr">
        <is>
          <t>Atributo aria-current="page" y clase CSS "active" en el ítem actual del menú.</t>
        </is>
      </c>
      <c r="F9" s="22">
        <f>IF(C9="","",VLOOKUP(C9,ValoresVC,2,0))</f>
        <v/>
      </c>
      <c r="G9" s="37">
        <f>IF(D9="","",VLOOKUP($D9,ValoresRC,2,0))</f>
        <v/>
      </c>
      <c r="H9" s="102">
        <f>IF(OR(G9="",G9=0,'Cálculo de % usabilidad'!$F$5=0),"",G9/'Cálculo de % usabilidad'!$F$5)</f>
        <v/>
      </c>
      <c r="I9" s="102">
        <f>IF(OR(H9="",F9=""),"",H9*F9)</f>
        <v/>
      </c>
      <c r="J9" s="103">
        <f>IF(H9="","",H9*10)</f>
        <v/>
      </c>
      <c r="K9" s="11" t="n"/>
    </row>
    <row r="10">
      <c r="A10" s="59" t="inlineStr">
        <is>
          <t>EN.8</t>
        </is>
      </c>
      <c r="B10" s="59" t="inlineStr">
        <is>
          <t>No hay redundancia de enlaces</t>
        </is>
      </c>
      <c r="C10" s="51" t="n">
        <v>10</v>
      </c>
      <c r="D10" s="52">
        <f>IF(OR(TipoDeSitio="",C10="NA"),"",VLOOKUP(CONCATENATE(A10,": ",B10),Tabla623,MATCH(TipoDeSitio,Tipos,0)+1,0))</f>
        <v/>
      </c>
      <c r="E10" s="44" t="inlineStr">
        <is>
          <t>No existen duplicidades de enlace dentro de los menús de navegación.</t>
        </is>
      </c>
      <c r="F10" s="22">
        <f>IF(C10="","",VLOOKUP(C10,ValoresVC,2,0))</f>
        <v/>
      </c>
      <c r="G10" s="37">
        <f>IF(D10="","",VLOOKUP($D10,ValoresRC,2,0))</f>
        <v/>
      </c>
      <c r="H10" s="102">
        <f>IF(OR(G10="",G10=0,'Cálculo de % usabilidad'!$F$5=0),"",G10/'Cálculo de % usabilidad'!$F$5)</f>
        <v/>
      </c>
      <c r="I10" s="102">
        <f>IF(OR(H10="",F10=""),"",H10*F10)</f>
        <v/>
      </c>
      <c r="J10" s="103">
        <f>IF(H10="","",H10*10)</f>
        <v/>
      </c>
      <c r="K10" s="11" t="n"/>
    </row>
    <row r="11">
      <c r="A11" s="59" t="inlineStr">
        <is>
          <t>EN.9</t>
        </is>
      </c>
      <c r="B11" s="59" t="inlineStr">
        <is>
          <t>No hay enlaces rotos</t>
        </is>
      </c>
      <c r="C11" s="51" t="n">
        <v>10</v>
      </c>
      <c r="D11" s="52">
        <f>IF(OR(TipoDeSitio="",C11="NA"),"",VLOOKUP(CONCATENATE(A11,": ",B11),Tabla623,MATCH(TipoDeSitio,Tipos,0)+1,0))</f>
        <v/>
      </c>
      <c r="E11" s="44" t="inlineStr">
        <is>
          <t>Todos los href apuntan a páginas existentes dentro del prototipo.</t>
        </is>
      </c>
      <c r="F11" s="22">
        <f>IF(C11="","",VLOOKUP(C11,ValoresVC,2,0))</f>
        <v/>
      </c>
      <c r="G11" s="37">
        <f>IF(D11="","",VLOOKUP($D11,ValoresRC,2,0))</f>
        <v/>
      </c>
      <c r="H11" s="102">
        <f>IF(OR(G11="",G11=0,'Cálculo de % usabilidad'!$F$5=0),"",G11/'Cálculo de % usabilidad'!$F$5)</f>
        <v/>
      </c>
      <c r="I11" s="102">
        <f>IF(OR(H11="",F11=""),"",H11*F11)</f>
        <v/>
      </c>
      <c r="J11" s="103">
        <f>IF(H11="","",H11*10)</f>
        <v/>
      </c>
      <c r="K11" s="11" t="n"/>
    </row>
    <row r="12">
      <c r="A12" s="59" t="inlineStr">
        <is>
          <t>EN.10</t>
        </is>
      </c>
      <c r="B12" s="59" t="inlineStr">
        <is>
          <t>No hay enlaces que lleven a la misma página que se está visualizando</t>
        </is>
      </c>
      <c r="C12" s="51" t="n">
        <v>10</v>
      </c>
      <c r="D12" s="52">
        <f>IF(OR(TipoDeSitio="",C12="NA"),"",VLOOKUP(CONCATENATE(A12,": ",B12),Tabla623,MATCH(TipoDeSitio,Tipos,0)+1,0))</f>
        <v/>
      </c>
      <c r="E12" s="44" t="inlineStr">
        <is>
          <t>La página activa no tiene enlace a sí misma (marcada como activa).</t>
        </is>
      </c>
      <c r="F12" s="22">
        <f>IF(C12="","",VLOOKUP(C12,ValoresVC,2,0))</f>
        <v/>
      </c>
      <c r="G12" s="37">
        <f>IF(D12="","",VLOOKUP($D12,ValoresRC,2,0))</f>
        <v/>
      </c>
      <c r="H12" s="102">
        <f>IF(OR(G12="",G12=0,'Cálculo de % usabilidad'!$F$5=0),"",G12/'Cálculo de % usabilidad'!$F$5)</f>
        <v/>
      </c>
      <c r="I12" s="102">
        <f>IF(OR(H12="",F12=""),"",H12*F12)</f>
        <v/>
      </c>
      <c r="J12" s="103">
        <f>IF(H12="","",H12*10)</f>
        <v/>
      </c>
    </row>
    <row r="13">
      <c r="A13" s="59" t="inlineStr">
        <is>
          <t>EN.11</t>
        </is>
      </c>
      <c r="B13" s="58" t="inlineStr">
        <is>
          <t>En las imágenes de enlace se indica el contenido al que se va a acceder</t>
        </is>
      </c>
      <c r="C13" s="51" t="n">
        <v>10</v>
      </c>
      <c r="D13" s="52">
        <f>IF(OR(TipoDeSitio="",C13="NA"),"",VLOOKUP(CONCATENATE(A13,": ",B13),Tabla623,MATCH(TipoDeSitio,Tipos,0)+1,0))</f>
        <v/>
      </c>
      <c r="E13" s="44" t="inlineStr">
        <is>
          <t>Logo SVG tiene alt="Taxi logo"; tarjetas de destino tienen aria-label descriptivo.</t>
        </is>
      </c>
      <c r="F13" s="22">
        <f>IF(C13="","",VLOOKUP(C13,ValoresVC,2,0))</f>
        <v/>
      </c>
      <c r="G13" s="37">
        <f>IF(D13="","",VLOOKUP($D13,ValoresRC,2,0))</f>
        <v/>
      </c>
      <c r="H13" s="102">
        <f>IF(OR(G13="",G13=0,'Cálculo de % usabilidad'!$F$5=0),"",G13/'Cálculo de % usabilidad'!$F$5)</f>
        <v/>
      </c>
      <c r="I13" s="102">
        <f>IF(OR(H13="",F13=""),"",H13*F13)</f>
        <v/>
      </c>
      <c r="J13" s="103">
        <f>IF(H13="","",H13*10)</f>
        <v/>
      </c>
    </row>
    <row r="14">
      <c r="A14" s="59" t="inlineStr">
        <is>
          <t>EN.12</t>
        </is>
      </c>
      <c r="B14" s="59" t="inlineStr">
        <is>
          <t>Existe un enlace para volver al inicio en cada página</t>
        </is>
      </c>
      <c r="C14" s="51" t="n">
        <v>10</v>
      </c>
      <c r="D14" s="52">
        <f>IF(OR(TipoDeSitio="",C14="NA"),"",VLOOKUP(CONCATENATE(A14,": ",B14),Tabla623,MATCH(TipoDeSitio,Tipos,0)+1,0))</f>
        <v/>
      </c>
      <c r="E14" s="44" t="inlineStr">
        <is>
          <t>El logotipo y el enlace de marca apuntan siempre a index.html.</t>
        </is>
      </c>
      <c r="F14" s="22">
        <f>IF(C14="","",VLOOKUP(C14,ValoresVC,2,0))</f>
        <v/>
      </c>
      <c r="G14" s="37">
        <f>IF(D14="","",VLOOKUP($D14,ValoresRC,2,0))</f>
        <v/>
      </c>
      <c r="H14" s="102">
        <f>IF(OR(G14="",G14=0,'Cálculo de % usabilidad'!$F$5=0),"",G14/'Cálculo de % usabilidad'!$F$5)</f>
        <v/>
      </c>
      <c r="I14" s="102">
        <f>IF(OR(H14="",F14=""),"",H14*F14)</f>
        <v/>
      </c>
      <c r="J14" s="103">
        <f>IF(H14="","",H14*10)</f>
        <v/>
      </c>
    </row>
    <row r="15" ht="28.8" customHeight="1" s="3">
      <c r="A15" s="59" t="inlineStr">
        <is>
          <t>EN.13</t>
        </is>
      </c>
      <c r="B15" s="58" t="inlineStr">
        <is>
          <t>Existen elementos de navegación que orienten al usuario acerca de dónde está y cómo deshacer su navegación (ej: migas)</t>
        </is>
      </c>
      <c r="C15" s="51" t="n">
        <v>5</v>
      </c>
      <c r="D15" s="52">
        <f>IF(OR(TipoDeSitio="",C15="NA"),"",VLOOKUP(CONCATENATE(A15,": ",B15),Tabla623,MATCH(TipoDeSitio,Tipos,0)+1,0))</f>
        <v/>
      </c>
      <c r="E15" s="44" t="inlineStr">
        <is>
          <t>El menú marca la página activa con aria-current y clase CSS "active", pero no hay migas de pan (breadcrumbs) explícitas.</t>
        </is>
      </c>
      <c r="F15" s="22">
        <f>IF(C15="","",VLOOKUP(C15,ValoresVC,2,0))</f>
        <v/>
      </c>
      <c r="G15" s="37">
        <f>IF(D15="","",VLOOKUP($D15,ValoresRC,2,0))</f>
        <v/>
      </c>
      <c r="H15" s="102">
        <f>IF(OR(G15="",G15=0,'Cálculo de % usabilidad'!$F$5=0),"",G15/'Cálculo de % usabilidad'!$F$5)</f>
        <v/>
      </c>
      <c r="I15" s="102">
        <f>IF(OR(H15="",F15=""),"",H15*F15)</f>
        <v/>
      </c>
      <c r="J15" s="103">
        <f>IF(H15="","",H15*10)</f>
        <v/>
      </c>
    </row>
    <row r="16" ht="15" customHeight="1" s="3" thickBot="1">
      <c r="A16" s="59" t="inlineStr">
        <is>
          <t>EN.14</t>
        </is>
      </c>
      <c r="B16" s="58" t="inlineStr">
        <is>
          <t>Existe mapa del sitio para acceder directamente a los contenidos sin navegar</t>
        </is>
      </c>
      <c r="C16" s="51" t="n">
        <v>0</v>
      </c>
      <c r="D16" s="52">
        <f>IF(OR(TipoDeSitio="",C16="NA"),"",VLOOKUP(CONCATENATE(A16,": ",B16),Tabla623,MATCH(TipoDeSitio,Tipos,0)+1,0))</f>
        <v/>
      </c>
      <c r="E16" s="44" t="inlineStr">
        <is>
          <t>No existe mapa del sitio. El sitio tiene solo 4 páginas por lo que su necesidad es baja, pero no está implementado.</t>
        </is>
      </c>
      <c r="F16" s="22">
        <f>IF(C16="","",VLOOKUP(C16,ValoresVC,2,0))</f>
        <v/>
      </c>
      <c r="G16" s="37">
        <f>IF(D16="","",VLOOKUP($D16,ValoresRC,2,0))</f>
        <v/>
      </c>
      <c r="H16" s="102">
        <f>IF(OR(G16="",G16=0,'Cálculo de % usabilidad'!$F$5=0),"",G16/'Cálculo de % usabilidad'!$F$5)</f>
        <v/>
      </c>
      <c r="I16" s="102">
        <f>IF(OR(H16="",F16=""),"",H16*F16)</f>
        <v/>
      </c>
      <c r="J16" s="103">
        <f>IF(H16="","",H16*10)</f>
        <v/>
      </c>
      <c r="K16" t="inlineStr">
        <is>
          <t>Núm.elementos evaluados</t>
        </is>
      </c>
      <c r="L16" s="12">
        <f>14-(COUNTIF(C3:C16,"NA")+COUNTBLANK(C3:C16))</f>
        <v/>
      </c>
      <c r="M16" t="inlineStr">
        <is>
          <t xml:space="preserve"> (no contabiliza ni los vacíos ni los NA)</t>
        </is>
      </c>
    </row>
    <row r="17" ht="15" customHeight="1" s="3" thickBot="1">
      <c r="G17" s="50">
        <f>IF(SUM(G3:G16)=0,"",SUM(G3:G16))</f>
        <v/>
      </c>
    </row>
    <row r="18">
      <c r="A18" s="1" t="inlineStr">
        <is>
          <t>Instrucciones</t>
        </is>
      </c>
      <c r="C18" s="8" t="inlineStr">
        <is>
          <t>Leyenda Valor</t>
        </is>
      </c>
      <c r="D18" s="9" t="n"/>
      <c r="E18" s="9" t="n"/>
      <c r="F18" s="9" t="n"/>
      <c r="G18" s="9" t="n"/>
      <c r="H18" s="9" t="n"/>
      <c r="I18" s="9" t="n"/>
      <c r="J18" s="9" t="n"/>
    </row>
    <row r="19">
      <c r="A19" t="inlineStr">
        <is>
          <t>1. Evalue cada criterio y rellene la columna "Valor" según la leyenda</t>
        </is>
      </c>
      <c r="C19" s="10" t="n">
        <v>0</v>
      </c>
      <c r="D19" s="9" t="inlineStr">
        <is>
          <t>No se cumple en absoluto</t>
        </is>
      </c>
      <c r="E19" s="9" t="n"/>
      <c r="F19" s="10" t="inlineStr">
        <is>
          <t>NEP</t>
        </is>
      </c>
      <c r="G19" s="9" t="inlineStr">
        <is>
          <t>No se cumple en los enlaces principales</t>
        </is>
      </c>
      <c r="H19" s="9" t="n"/>
      <c r="I19" s="9" t="n"/>
      <c r="J19" s="9" t="n"/>
    </row>
    <row r="20">
      <c r="A20" t="inlineStr">
        <is>
          <t>2. Añada sus comentarios o la referencia a los mismos en otro documento anexo en la columna "Comentarios"</t>
        </is>
      </c>
      <c r="C20" s="10" t="n">
        <v>10</v>
      </c>
      <c r="D20" s="9" t="inlineStr">
        <is>
          <t>Se cumple totalmente</t>
        </is>
      </c>
      <c r="E20" s="9" t="n"/>
      <c r="F20" s="10" t="inlineStr">
        <is>
          <t xml:space="preserve">NPP </t>
        </is>
      </c>
      <c r="G20" s="9" t="inlineStr">
        <is>
          <t>No se cumple en la página principal</t>
        </is>
      </c>
      <c r="H20" s="9" t="n"/>
      <c r="I20" s="9" t="n"/>
      <c r="J20" s="9" t="n"/>
    </row>
    <row r="21">
      <c r="C21" s="10" t="inlineStr">
        <is>
          <t>NA</t>
        </is>
      </c>
      <c r="D21" s="9" t="inlineStr">
        <is>
          <t>Criterio no aplicable en el sitio</t>
        </is>
      </c>
      <c r="E21" s="9" t="n"/>
      <c r="F21" s="10" t="inlineStr">
        <is>
          <t>NPI</t>
        </is>
      </c>
      <c r="G21" s="9" t="inlineStr">
        <is>
          <t>No se cumple en alguna página interior</t>
        </is>
      </c>
      <c r="H21" s="9" t="n"/>
      <c r="I21" s="9" t="n"/>
      <c r="J21" s="9" t="n"/>
    </row>
    <row r="22">
      <c r="C22" s="10" t="inlineStr">
        <is>
          <t xml:space="preserve">NTS </t>
        </is>
      </c>
      <c r="D22" s="9" t="inlineStr">
        <is>
          <t>No se cumple en todo el sitio</t>
        </is>
      </c>
      <c r="E22" s="9" t="n"/>
      <c r="F22" s="10" t="inlineStr">
        <is>
          <t xml:space="preserve">S </t>
        </is>
      </c>
      <c r="G22" s="9" t="inlineStr">
        <is>
          <t>Se cumple el criterio</t>
        </is>
      </c>
      <c r="H22" s="9" t="n"/>
      <c r="I22" s="9" t="n"/>
      <c r="J22" s="9" t="n"/>
    </row>
    <row r="23">
      <c r="C23" s="9" t="n"/>
      <c r="D23" s="9" t="n"/>
      <c r="E23" s="9" t="n"/>
      <c r="F23" s="9" t="n"/>
      <c r="G23" s="9" t="n"/>
      <c r="H23" s="9" t="n"/>
      <c r="I23" s="9" t="n"/>
      <c r="J23" s="9" t="n"/>
    </row>
    <row r="24">
      <c r="C24" s="11" t="n"/>
      <c r="D24" s="11" t="n"/>
      <c r="E24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dataValidations count="2">
    <dataValidation sqref="C4:C6" showDropDown="0" showInputMessage="1" showErrorMessage="1" allowBlank="1" type="list">
      <formula1>Valores1</formula1>
    </dataValidation>
    <dataValidation sqref="C3 C7:C16" showDropDown="0" showInputMessage="1" showErrorMessage="1" allowBlank="1" type="list">
      <formula1>Valores2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Hoja5">
    <outlinePr summaryBelow="1" summaryRight="1"/>
    <pageSetUpPr/>
  </sheetPr>
  <dimension ref="A1:M18"/>
  <sheetViews>
    <sheetView showGridLines="0" workbookViewId="0">
      <selection activeCell="B1" sqref="B1"/>
    </sheetView>
  </sheetViews>
  <sheetFormatPr baseColWidth="10" defaultRowHeight="14.4"/>
  <cols>
    <col width="90.6640625" customWidth="1" style="3" min="2" max="2"/>
    <col width="14" customWidth="1" style="3" min="4" max="4"/>
    <col width="34.5546875" customWidth="1" style="3" min="5" max="5"/>
    <col width="18" customWidth="1" style="3" min="6" max="6"/>
    <col width="30.5546875" customWidth="1" style="3" min="7" max="7"/>
    <col width="24.6640625" customWidth="1" style="3" min="8" max="10"/>
    <col width="25.109375" customWidth="1" style="3" min="11" max="11"/>
    <col width="5.88671875" customWidth="1" style="3" min="12" max="12"/>
  </cols>
  <sheetData>
    <row r="1" ht="36.75" customHeight="1" s="3">
      <c r="A1" s="4" t="inlineStr">
        <is>
          <t xml:space="preserve">CRITERIOS DEL "ROTULADO": Elementos relacionados con la significación, corrección y familiaridad del rotulado de los contenidos. 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59" t="inlineStr">
        <is>
          <t>RO.1</t>
        </is>
      </c>
      <c r="B3" s="59" t="inlineStr">
        <is>
          <t>Rótulos significativos</t>
        </is>
      </c>
      <c r="C3" s="51" t="n">
        <v>10</v>
      </c>
      <c r="D3" s="52">
        <f>IF(OR(TipoDeSitio="",C3="NA"),"",VLOOKUP(CONCATENATE(A3,": ",B3),Tabla624,MATCH(TipoDeSitio,Tipos,0)+1,0))</f>
        <v/>
      </c>
      <c r="E3" s="44" t="inlineStr">
        <is>
          <t>Los rótulos de sección (Reservar, Mis Reservas, Contacto) son autoexplicativos.</t>
        </is>
      </c>
      <c r="F3" s="22">
        <f>IF(C3="","",VLOOKUP(C3,ValoresVC,2,0))</f>
        <v/>
      </c>
      <c r="G3" s="37">
        <f>IF(D3="","",VLOOKUP($D3,ValoresRC,2,0))</f>
        <v/>
      </c>
      <c r="H3" s="102">
        <f>IF(OR(G3="",G3=0,'Cálculo de % usabilidad'!$F$5=0),"",G3/'Cálculo de % usabilidad'!$F$5)</f>
        <v/>
      </c>
      <c r="I3" s="102">
        <f>IF(OR(H3="",F3=""),"",H3*F3)</f>
        <v/>
      </c>
      <c r="J3" s="103">
        <f>IF(H3="","",H3*10)</f>
        <v/>
      </c>
      <c r="K3" s="11" t="n"/>
    </row>
    <row r="4">
      <c r="A4" s="59" t="inlineStr">
        <is>
          <t>RO.2</t>
        </is>
      </c>
      <c r="B4" s="59" t="inlineStr">
        <is>
          <t>Sistema de rotulado controlado y preciso</t>
        </is>
      </c>
      <c r="C4" s="51" t="n">
        <v>10</v>
      </c>
      <c r="D4" s="52">
        <f>IF(OR(TipoDeSitio="",C4="NA"),"",VLOOKUP(CONCATENATE(A4,": ",B4),Tabla624,MATCH(TipoDeSitio,Tipos,0)+1,0))</f>
        <v/>
      </c>
      <c r="E4" s="44" t="inlineStr">
        <is>
          <t>Nomenclatura coherente en etiquetas de formulario y navegación.</t>
        </is>
      </c>
      <c r="F4" s="22">
        <f>IF(C4="","",VLOOKUP(C4,ValoresVC,2,0))</f>
        <v/>
      </c>
      <c r="G4" s="37">
        <f>IF(D4="","",VLOOKUP($D4,ValoresRC,2,0))</f>
        <v/>
      </c>
      <c r="H4" s="102">
        <f>IF(OR(G4="",G4=0,'Cálculo de % usabilidad'!$F$5=0),"",G4/'Cálculo de % usabilidad'!$F$5)</f>
        <v/>
      </c>
      <c r="I4" s="102">
        <f>IF(OR(H4="",F4=""),"",H4*F4)</f>
        <v/>
      </c>
      <c r="J4" s="103">
        <f>IF(H4="","",H4*10)</f>
        <v/>
      </c>
      <c r="K4" s="11" t="n"/>
    </row>
    <row r="5">
      <c r="A5" s="59" t="inlineStr">
        <is>
          <t>RO.3</t>
        </is>
      </c>
      <c r="B5" s="59" t="inlineStr">
        <is>
          <t>Título de las páginas, correcto y planificado</t>
        </is>
      </c>
      <c r="C5" s="51" t="n">
        <v>10</v>
      </c>
      <c r="D5" s="52">
        <f>IF(OR(TipoDeSitio="",C5="NA"),"",VLOOKUP(CONCATENATE(A5,": ",B5),Tabla624,MATCH(TipoDeSitio,Tipos,0)+1,0))</f>
        <v/>
      </c>
      <c r="E5" s="44" t="inlineStr">
        <is>
          <t>Cada página tiene &lt;title&gt; específico: "Reserva tu Traslado", "Contacto", etc.</t>
        </is>
      </c>
      <c r="F5" s="22">
        <f>IF(C5="","",VLOOKUP(C5,ValoresVC,2,0))</f>
        <v/>
      </c>
      <c r="G5" s="37">
        <f>IF(D5="","",VLOOKUP($D5,ValoresRC,2,0))</f>
        <v/>
      </c>
      <c r="H5" s="102">
        <f>IF(OR(G5="",G5=0,'Cálculo de % usabilidad'!$F$5=0),"",G5/'Cálculo de % usabilidad'!$F$5)</f>
        <v/>
      </c>
      <c r="I5" s="102">
        <f>IF(OR(H5="",F5=""),"",H5*F5)</f>
        <v/>
      </c>
      <c r="J5" s="103">
        <f>IF(H5="","",H5*10)</f>
        <v/>
      </c>
      <c r="K5" s="11" t="n"/>
    </row>
    <row r="6">
      <c r="A6" s="59" t="inlineStr">
        <is>
          <t>RO.4</t>
        </is>
      </c>
      <c r="B6" s="58" t="inlineStr">
        <is>
          <t>URL página principal correcta, clara y fácil de recordar</t>
        </is>
      </c>
      <c r="C6" s="51" t="inlineStr">
        <is>
          <t>NA</t>
        </is>
      </c>
      <c r="D6" s="52">
        <f>IF(OR(TipoDeSitio="",C6="NA"),"",VLOOKUP(CONCATENATE(A6,": ",B6),Tabla624,MATCH(TipoDeSitio,Tipos,0)+1,0))</f>
        <v/>
      </c>
      <c r="E6" s="44" t="inlineStr">
        <is>
          <t>Es un prototipo local sin URL pública.</t>
        </is>
      </c>
      <c r="F6" s="22">
        <f>IF(C6="","",VLOOKUP(C6,ValoresVC,2,0))</f>
        <v/>
      </c>
      <c r="G6" s="37">
        <f>IF(D6="","",VLOOKUP($D6,ValoresRC,2,0))</f>
        <v/>
      </c>
      <c r="H6" s="102">
        <f>IF(OR(G6="",G6=0,'Cálculo de % usabilidad'!$F$5=0),"",G6/'Cálculo de % usabilidad'!$F$5)</f>
        <v/>
      </c>
      <c r="I6" s="102">
        <f>IF(OR(H6="",F6=""),"",H6*F6)</f>
        <v/>
      </c>
      <c r="J6" s="103">
        <f>IF(H6="","",H6*10)</f>
        <v/>
      </c>
      <c r="K6" s="11" t="n"/>
    </row>
    <row r="7">
      <c r="A7" s="59" t="inlineStr">
        <is>
          <t>RO.5</t>
        </is>
      </c>
      <c r="B7" s="58" t="inlineStr">
        <is>
          <t>URLs de páginas internas claras</t>
        </is>
      </c>
      <c r="C7" s="51" t="n">
        <v>10</v>
      </c>
      <c r="D7" s="52">
        <f>IF(OR(TipoDeSitio="",C7="NA"),"",VLOOKUP(CONCATENATE(A7,": ",B7),Tabla624,MATCH(TipoDeSitio,Tipos,0)+1,0))</f>
        <v/>
      </c>
      <c r="E7" s="44" t="inlineStr">
        <is>
          <t>Archivos: booking.html, manage-booking.html, contact.html, payment.html.</t>
        </is>
      </c>
      <c r="F7" s="22">
        <f>IF(C7="","",VLOOKUP(C7,ValoresVC,2,0))</f>
        <v/>
      </c>
      <c r="G7" s="37">
        <f>IF(D7="","",VLOOKUP($D7,ValoresRC,2,0))</f>
        <v/>
      </c>
      <c r="H7" s="102">
        <f>IF(OR(G7="",G7=0,'Cálculo de % usabilidad'!$F$5=0),"",G7/'Cálculo de % usabilidad'!$F$5)</f>
        <v/>
      </c>
      <c r="I7" s="102">
        <f>IF(OR(H7="",F7=""),"",H7*F7)</f>
        <v/>
      </c>
      <c r="J7" s="103">
        <f>IF(H7="","",H7*10)</f>
        <v/>
      </c>
      <c r="K7" s="11" t="n"/>
    </row>
    <row r="8" ht="15" customHeight="1" s="3" thickBot="1">
      <c r="A8" s="59" t="inlineStr">
        <is>
          <t>RO.6</t>
        </is>
      </c>
      <c r="B8" s="58" t="inlineStr">
        <is>
          <t>URLs de páginas internas permanentes</t>
        </is>
      </c>
      <c r="C8" s="51" t="inlineStr">
        <is>
          <t>NA</t>
        </is>
      </c>
      <c r="D8" s="52">
        <f>IF(OR(TipoDeSitio="",C8="NA"),"",VLOOKUP(CONCATENATE(A8,": ",B8),Tabla624,MATCH(TipoDeSitio,Tipos,0)+1,0))</f>
        <v/>
      </c>
      <c r="E8" s="44" t="inlineStr">
        <is>
          <t>Prototipo estático sin URLs de producción.</t>
        </is>
      </c>
      <c r="F8" s="22">
        <f>IF(C8="","",VLOOKUP(C8,ValoresVC,2,0))</f>
        <v/>
      </c>
      <c r="G8" s="37">
        <f>IF(D8="","",VLOOKUP($D8,ValoresRC,2,0))</f>
        <v/>
      </c>
      <c r="H8" s="102">
        <f>IF(OR(G8="",G8=0,'Cálculo de % usabilidad'!$F$5=0),"",G8/'Cálculo de % usabilidad'!$F$5)</f>
        <v/>
      </c>
      <c r="I8" s="102">
        <f>IF(OR(H8="",F8=""),"",H8*F8)</f>
        <v/>
      </c>
      <c r="J8" s="103">
        <f>IF(H8="","",H8*10)</f>
        <v/>
      </c>
      <c r="K8" t="inlineStr">
        <is>
          <t>Núm.elementos evaluados</t>
        </is>
      </c>
      <c r="L8" s="12">
        <f>6-(COUNTIF(C3:C8,"NA")+COUNTBLANK(C3:C8))</f>
        <v/>
      </c>
      <c r="M8" t="inlineStr">
        <is>
          <t xml:space="preserve"> (no contabiliza ni los vacíos ni los NA)</t>
        </is>
      </c>
    </row>
    <row r="9" ht="15" customHeight="1" s="3" thickBot="1">
      <c r="G9" s="50">
        <f>IF(SUM(G3:G8)=0,"",SUM(G3:G8))</f>
        <v/>
      </c>
    </row>
    <row r="10">
      <c r="A10" s="1" t="inlineStr">
        <is>
          <t>Instrucciones</t>
        </is>
      </c>
      <c r="C10" s="8" t="inlineStr">
        <is>
          <t>Leyenda Valor</t>
        </is>
      </c>
      <c r="D10" s="9" t="n"/>
      <c r="E10" s="9" t="n"/>
      <c r="F10" s="9" t="n"/>
      <c r="G10" s="9" t="n"/>
      <c r="H10" s="9" t="n"/>
      <c r="I10" s="9" t="n"/>
      <c r="J10" s="9" t="n"/>
    </row>
    <row r="11">
      <c r="A11" t="inlineStr">
        <is>
          <t>1. Evalue cada criterio y rellene la columna "Valor" según la leyenda</t>
        </is>
      </c>
      <c r="C11" s="10" t="n">
        <v>0</v>
      </c>
      <c r="D11" s="9" t="inlineStr">
        <is>
          <t>No se cumple en absoluto</t>
        </is>
      </c>
      <c r="E11" s="9" t="n"/>
      <c r="F11" s="10" t="inlineStr">
        <is>
          <t>NEP</t>
        </is>
      </c>
      <c r="G11" s="9" t="inlineStr">
        <is>
          <t>No se cumple en los enlaces principales</t>
        </is>
      </c>
      <c r="H11" s="9" t="n"/>
      <c r="I11" s="9" t="n"/>
      <c r="J11" s="9" t="n"/>
    </row>
    <row r="12">
      <c r="A12" t="inlineStr">
        <is>
          <t>2. Añada sus comentarios o la referencia a los mismos en otro documento anexo en la columna "Comentarios"</t>
        </is>
      </c>
      <c r="C12" s="10" t="n">
        <v>10</v>
      </c>
      <c r="D12" s="9" t="inlineStr">
        <is>
          <t>Se cumple totalmente</t>
        </is>
      </c>
      <c r="E12" s="9" t="n"/>
      <c r="F12" s="10" t="inlineStr">
        <is>
          <t xml:space="preserve">NPP </t>
        </is>
      </c>
      <c r="G12" s="9" t="inlineStr">
        <is>
          <t>No se cumple en la página principal</t>
        </is>
      </c>
      <c r="H12" s="9" t="n"/>
      <c r="I12" s="9" t="n"/>
      <c r="J12" s="9" t="n"/>
    </row>
    <row r="13">
      <c r="C13" s="10" t="inlineStr">
        <is>
          <t>NA</t>
        </is>
      </c>
      <c r="D13" s="9" t="inlineStr">
        <is>
          <t>Criterio no aplicable en el sitio</t>
        </is>
      </c>
      <c r="E13" s="9" t="n"/>
      <c r="F13" s="10" t="inlineStr">
        <is>
          <t>NPI</t>
        </is>
      </c>
      <c r="G13" s="9" t="inlineStr">
        <is>
          <t>No se cumple en alguna página interior</t>
        </is>
      </c>
      <c r="H13" s="9" t="n"/>
      <c r="I13" s="9" t="n"/>
      <c r="J13" s="9" t="n"/>
    </row>
    <row r="14">
      <c r="C14" s="10" t="inlineStr">
        <is>
          <t xml:space="preserve">NTS </t>
        </is>
      </c>
      <c r="D14" s="9" t="inlineStr">
        <is>
          <t>No se cumple en todo el sitio</t>
        </is>
      </c>
      <c r="E14" s="9" t="n"/>
      <c r="F14" s="10" t="inlineStr">
        <is>
          <t xml:space="preserve">S </t>
        </is>
      </c>
      <c r="G14" s="9" t="inlineStr">
        <is>
          <t>Se cumple el criterio</t>
        </is>
      </c>
      <c r="H14" s="9" t="n"/>
      <c r="I14" s="9" t="n"/>
      <c r="J14" s="9" t="n"/>
    </row>
    <row r="15"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C16" s="11" t="n"/>
      <c r="D16" s="11" t="n"/>
      <c r="E16" s="11" t="n"/>
    </row>
    <row r="17">
      <c r="A17" s="7" t="n"/>
      <c r="B17" s="11" t="n"/>
      <c r="C17" s="11" t="n"/>
      <c r="D17" s="11" t="n"/>
    </row>
    <row r="18">
      <c r="A18" s="11" t="n"/>
      <c r="B18" s="11" t="n"/>
      <c r="C18" s="11" t="n"/>
      <c r="D18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dataValidations count="2">
    <dataValidation sqref="C3:C5 C7:C8" showDropDown="0" showInputMessage="1" showErrorMessage="1" allowBlank="1" type="list">
      <formula1>Valores2</formula1>
    </dataValidation>
    <dataValidation sqref="C6" showDropDown="0" showInputMessage="1" showErrorMessage="1" allowBlank="1" type="list">
      <formula1>Valores1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Hoja6">
    <outlinePr summaryBelow="1" summaryRight="1"/>
    <pageSetUpPr/>
  </sheetPr>
  <dimension ref="A1:M21"/>
  <sheetViews>
    <sheetView showGridLines="0" workbookViewId="0">
      <selection activeCell="B1" sqref="B1"/>
    </sheetView>
  </sheetViews>
  <sheetFormatPr baseColWidth="10" defaultRowHeight="14.4"/>
  <cols>
    <col width="88.109375" customWidth="1" style="3" min="2" max="2"/>
    <col width="16.109375" customWidth="1" style="3" min="4" max="4"/>
    <col width="26.5546875" customWidth="1" style="3" min="5" max="5"/>
    <col width="17.6640625" customWidth="1" style="3" min="6" max="6"/>
    <col width="29.5546875" customWidth="1" style="3" min="7" max="7"/>
    <col width="24.5546875" customWidth="1" style="3" min="8" max="10"/>
    <col width="24.88671875" customWidth="1" style="3" min="11" max="11"/>
    <col width="4.109375" customWidth="1" style="3" min="12" max="12"/>
  </cols>
  <sheetData>
    <row r="1" ht="36.75" customHeight="1" s="3">
      <c r="A1" s="4" t="inlineStr">
        <is>
          <t>CRITERIOS DEL "LAYOUT DE LA PÁGINA": Elementos relacionados con la distribución y el aspecto de los elementos de navegación e información en la interfaz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59" t="inlineStr">
        <is>
          <t>LA.1</t>
        </is>
      </c>
      <c r="B3" s="58" t="inlineStr">
        <is>
          <t>Se aprovechan las zonas de alta jerarquía informativa de la página para contenidos de mayor relevancia</t>
        </is>
      </c>
      <c r="C3" s="51" t="n">
        <v>10</v>
      </c>
      <c r="D3" s="52">
        <f>IF(OR(TipoDeSitio="",C3="NA"),"",VLOOKUP(CONCATENATE(A3,": ",B3),Tabla625,MATCH(TipoDeSitio,Tipos,0)+1,0))</f>
        <v/>
      </c>
      <c r="E3" s="44" t="inlineStr">
        <is>
          <t>Hero section en la zona superior con CTA principal y título h1.</t>
        </is>
      </c>
      <c r="F3" s="37">
        <f>IF(C3="","",VLOOKUP(C3,ValoresVC,2,0))</f>
        <v/>
      </c>
      <c r="G3" s="37">
        <f>IF(D3="","",VLOOKUP($D3,ValoresRC,2,0))</f>
        <v/>
      </c>
      <c r="H3" s="102">
        <f>IF(OR(G3="",G3=0,'Cálculo de % usabilidad'!$F$5=0),"",G3/'Cálculo de % usabilidad'!$F$5)</f>
        <v/>
      </c>
      <c r="I3" s="102">
        <f>IF(OR(H3="",F3=""),"",H3*F3)</f>
        <v/>
      </c>
      <c r="J3" s="103">
        <f>IF(H3="","",H3*10)</f>
        <v/>
      </c>
      <c r="K3" s="11" t="n"/>
    </row>
    <row r="4">
      <c r="A4" s="59" t="inlineStr">
        <is>
          <t>LA.2</t>
        </is>
      </c>
      <c r="B4" s="59" t="inlineStr">
        <is>
          <t>Se ha evitado la sobrecarga informativa</t>
        </is>
      </c>
      <c r="C4" s="51" t="n">
        <v>10</v>
      </c>
      <c r="D4" s="52">
        <f>IF(OR(TipoDeSitio="",C4="NA"),"",VLOOKUP(CONCATENATE(A4,": ",B4),Tabla625,MATCH(TipoDeSitio,Tipos,0)+1,0))</f>
        <v/>
      </c>
      <c r="E4" s="44" t="inlineStr">
        <is>
          <t>Cada sección contiene un único tema; no hay acumulación de elementos.</t>
        </is>
      </c>
      <c r="F4" s="37">
        <f>IF(C4="","",VLOOKUP(C4,ValoresVC,2,0))</f>
        <v/>
      </c>
      <c r="G4" s="37">
        <f>IF(D4="","",VLOOKUP($D4,ValoresRC,2,0))</f>
        <v/>
      </c>
      <c r="H4" s="102">
        <f>IF(OR(G4="",G4=0,'Cálculo de % usabilidad'!$F$5=0),"",G4/'Cálculo de % usabilidad'!$F$5)</f>
        <v/>
      </c>
      <c r="I4" s="102">
        <f>IF(OR(H4="",F4=""),"",H4*F4)</f>
        <v/>
      </c>
      <c r="J4" s="103">
        <f>IF(H4="","",H4*10)</f>
        <v/>
      </c>
      <c r="K4" s="11" t="n"/>
    </row>
    <row r="5">
      <c r="A5" s="59" t="inlineStr">
        <is>
          <t>LA.3</t>
        </is>
      </c>
      <c r="B5" s="59" t="inlineStr">
        <is>
          <t>Es una interfaz limpia, sin ruido visual</t>
        </is>
      </c>
      <c r="C5" s="51" t="n">
        <v>10</v>
      </c>
      <c r="D5" s="52">
        <f>IF(OR(TipoDeSitio="",C5="NA"),"",VLOOKUP(CONCATENATE(A5,": ",B5),Tabla625,MATCH(TipoDeSitio,Tipos,0)+1,0))</f>
        <v/>
      </c>
      <c r="E5" s="44" t="inlineStr">
        <is>
          <t>Bootstrap 5 garantiza layout limpio con separación visual clara.</t>
        </is>
      </c>
      <c r="F5" s="37">
        <f>IF(C5="","",VLOOKUP(C5,ValoresVC,2,0))</f>
        <v/>
      </c>
      <c r="G5" s="37">
        <f>IF(D5="","",VLOOKUP($D5,ValoresRC,2,0))</f>
        <v/>
      </c>
      <c r="H5" s="102">
        <f>IF(OR(G5="",G5=0,'Cálculo de % usabilidad'!$F$5=0),"",G5/'Cálculo de % usabilidad'!$F$5)</f>
        <v/>
      </c>
      <c r="I5" s="102">
        <f>IF(OR(H5="",F5=""),"",H5*F5)</f>
        <v/>
      </c>
      <c r="J5" s="103">
        <f>IF(H5="","",H5*10)</f>
        <v/>
      </c>
      <c r="K5" s="11" t="n"/>
    </row>
    <row r="6">
      <c r="A6" s="59" t="inlineStr">
        <is>
          <t>LA.4</t>
        </is>
      </c>
      <c r="B6" s="58" t="inlineStr">
        <is>
          <t>Existen zonas en blanco entre los objetos informativos de la página para poder descansar la vista</t>
        </is>
      </c>
      <c r="C6" s="51" t="n">
        <v>10</v>
      </c>
      <c r="D6" s="52">
        <f>IF(OR(TipoDeSitio="",C6="NA"),"",VLOOKUP(CONCATENATE(A6,": ",B6),Tabla625,MATCH(TipoDeSitio,Tipos,0)+1,0))</f>
        <v/>
      </c>
      <c r="E6" s="44" t="inlineStr">
        <is>
          <t>Uso sistemático de py-5, mb-4, gap-3 para espaciado entre bloques.</t>
        </is>
      </c>
      <c r="F6" s="37">
        <f>IF(C6="","",VLOOKUP(C6,ValoresVC,2,0))</f>
        <v/>
      </c>
      <c r="G6" s="37">
        <f>IF(D6="","",VLOOKUP($D6,ValoresRC,2,0))</f>
        <v/>
      </c>
      <c r="H6" s="102">
        <f>IF(OR(G6="",G6=0,'Cálculo de % usabilidad'!$F$5=0),"",G6/'Cálculo de % usabilidad'!$F$5)</f>
        <v/>
      </c>
      <c r="I6" s="102">
        <f>IF(OR(H6="",F6=""),"",H6*F6)</f>
        <v/>
      </c>
      <c r="J6" s="103">
        <f>IF(H6="","",H6*10)</f>
        <v/>
      </c>
      <c r="K6" s="11" t="n"/>
    </row>
    <row r="7">
      <c r="A7" s="59" t="inlineStr">
        <is>
          <t>LA.5</t>
        </is>
      </c>
      <c r="B7" s="58" t="inlineStr">
        <is>
          <t>Uso correcto del espacio visual de la página</t>
        </is>
      </c>
      <c r="C7" s="51" t="n">
        <v>10</v>
      </c>
      <c r="D7" s="52">
        <f>IF(OR(TipoDeSitio="",C7="NA"),"",VLOOKUP(CONCATENATE(A7,": ",B7),Tabla625,MATCH(TipoDeSitio,Tipos,0)+1,0))</f>
        <v/>
      </c>
      <c r="E7" s="44" t="inlineStr">
        <is>
          <t>Grid de 12 columnas Bootstrap con ocupación equilibrada del espacio.</t>
        </is>
      </c>
      <c r="F7" s="37">
        <f>IF(C7="","",VLOOKUP(C7,ValoresVC,2,0))</f>
        <v/>
      </c>
      <c r="G7" s="37">
        <f>IF(D7="","",VLOOKUP($D7,ValoresRC,2,0))</f>
        <v/>
      </c>
      <c r="H7" s="102">
        <f>IF(OR(G7="",G7=0,'Cálculo de % usabilidad'!$F$5=0),"",G7/'Cálculo de % usabilidad'!$F$5)</f>
        <v/>
      </c>
      <c r="I7" s="102">
        <f>IF(OR(H7="",F7=""),"",H7*F7)</f>
        <v/>
      </c>
      <c r="J7" s="103">
        <f>IF(H7="","",H7*10)</f>
        <v/>
      </c>
      <c r="K7" s="11" t="n"/>
    </row>
    <row r="8" ht="28.8" customHeight="1" s="3">
      <c r="A8" s="59" t="inlineStr">
        <is>
          <t>LA.6</t>
        </is>
      </c>
      <c r="B8" s="58" t="inlineStr">
        <is>
          <t>Se utiliza correctamente la jerarquía visual para expresar las relaciones del tipo "parte de" entre los elementos de la página</t>
        </is>
      </c>
      <c r="C8" s="51" t="n">
        <v>10</v>
      </c>
      <c r="D8" s="52">
        <f>IF(OR(TipoDeSitio="",C8="NA"),"",VLOOKUP(CONCATENATE(A8,": ",B8),Tabla625,MATCH(TipoDeSitio,Tipos,0)+1,0))</f>
        <v/>
      </c>
      <c r="E8" s="44" t="inlineStr">
        <is>
          <t>Encabezados h1→h2→h3 bien jerarquizados; fieldsets en el formulario.</t>
        </is>
      </c>
      <c r="F8" s="37">
        <f>IF(C8="","",VLOOKUP(C8,ValoresVC,2,0))</f>
        <v/>
      </c>
      <c r="G8" s="37">
        <f>IF(D8="","",VLOOKUP($D8,ValoresRC,2,0))</f>
        <v/>
      </c>
      <c r="H8" s="102">
        <f>IF(OR(G8="",G8=0,'Cálculo de % usabilidad'!$F$5=0),"",G8/'Cálculo de % usabilidad'!$F$5)</f>
        <v/>
      </c>
      <c r="I8" s="102">
        <f>IF(OR(H8="",F8=""),"",H8*F8)</f>
        <v/>
      </c>
      <c r="J8" s="103">
        <f>IF(H8="","",H8*10)</f>
        <v/>
      </c>
      <c r="K8" s="11" t="n"/>
    </row>
    <row r="9">
      <c r="A9" s="59" t="inlineStr">
        <is>
          <t>LA.7</t>
        </is>
      </c>
      <c r="B9" s="58" t="inlineStr">
        <is>
          <t>Se ha controlado la longitud de página</t>
        </is>
      </c>
      <c r="C9" s="51" t="n">
        <v>10</v>
      </c>
      <c r="D9" s="52">
        <f>IF(OR(TipoDeSitio="",C9="NA"),"",VLOOKUP(CONCATENATE(A9,": ",B9),Tabla625,MATCH(TipoDeSitio,Tipos,0)+1,0))</f>
        <v/>
      </c>
      <c r="E9" s="44" t="inlineStr">
        <is>
          <t>Las páginas no superan 2-3 pantallas de scroll.</t>
        </is>
      </c>
      <c r="F9" s="37">
        <f>IF(C9="","",VLOOKUP(C9,ValoresVC,2,0))</f>
        <v/>
      </c>
      <c r="G9" s="37">
        <f>IF(D9="","",VLOOKUP($D9,ValoresRC,2,0))</f>
        <v/>
      </c>
      <c r="H9" s="102">
        <f>IF(OR(G9="",G9=0,'Cálculo de % usabilidad'!$F$5=0),"",G9/'Cálculo de % usabilidad'!$F$5)</f>
        <v/>
      </c>
      <c r="I9" s="102">
        <f>IF(OR(H9="",F9=""),"",H9*F9)</f>
        <v/>
      </c>
      <c r="J9" s="103">
        <f>IF(H9="","",H9*10)</f>
        <v/>
      </c>
      <c r="K9" s="11" t="n"/>
    </row>
    <row r="10">
      <c r="A10" s="59" t="inlineStr">
        <is>
          <t>LA.8</t>
        </is>
      </c>
      <c r="B10" s="59" t="inlineStr">
        <is>
          <t>La versión impresa de la página es correcta</t>
        </is>
      </c>
      <c r="C10" s="51" t="inlineStr">
        <is>
          <t>NA</t>
        </is>
      </c>
      <c r="D10" s="52">
        <f>IF(OR(TipoDeSitio="",C10="NA"),"",VLOOKUP(CONCATENATE(A10,": ",B10),Tabla625,MATCH(TipoDeSitio,Tipos,0)+1,0))</f>
        <v/>
      </c>
      <c r="E10" s="44" t="inlineStr">
        <is>
          <t>No aplica para este prototipo de revisión heurística.</t>
        </is>
      </c>
      <c r="F10" s="37">
        <f>IF(C10="","",VLOOKUP(C10,ValoresVC,2,0))</f>
        <v/>
      </c>
      <c r="G10" s="37">
        <f>IF(D10="","",VLOOKUP($D10,ValoresRC,2,0))</f>
        <v/>
      </c>
      <c r="H10" s="102">
        <f>IF(OR(G10="",G10=0,'Cálculo de % usabilidad'!$F$5=0),"",G10/'Cálculo de % usabilidad'!$F$5)</f>
        <v/>
      </c>
      <c r="I10" s="102">
        <f>IF(OR(H10="",F10=""),"",H10*F10)</f>
        <v/>
      </c>
      <c r="J10" s="103">
        <f>IF(H10="","",H10*10)</f>
        <v/>
      </c>
      <c r="K10" s="11" t="n"/>
    </row>
    <row r="11">
      <c r="A11" s="59" t="inlineStr">
        <is>
          <t>LA.9</t>
        </is>
      </c>
      <c r="B11" s="59" t="inlineStr">
        <is>
          <t>El texto de la página se lee sin dificultad</t>
        </is>
      </c>
      <c r="C11" s="51" t="n">
        <v>10</v>
      </c>
      <c r="D11" s="52">
        <f>IF(OR(TipoDeSitio="",C11="NA"),"",VLOOKUP(CONCATENATE(A11,": ",B11),Tabla625,MATCH(TipoDeSitio,Tipos,0)+1,0))</f>
        <v/>
      </c>
      <c r="E11" s="44" t="inlineStr">
        <is>
          <t>Texto en negro sobre fondo blanco/gris claro; contraste adecuado.</t>
        </is>
      </c>
      <c r="F11" s="37">
        <f>IF(C11="","",VLOOKUP(C11,ValoresVC,2,0))</f>
        <v/>
      </c>
      <c r="G11" s="37">
        <f>IF(D11="","",VLOOKUP($D11,ValoresRC,2,0))</f>
        <v/>
      </c>
      <c r="H11" s="102">
        <f>IF(OR(G11="",G11=0,'Cálculo de % usabilidad'!$F$5=0),"",G11/'Cálculo de % usabilidad'!$F$5)</f>
        <v/>
      </c>
      <c r="I11" s="102">
        <f>IF(OR(H11="",F11=""),"",H11*F11)</f>
        <v/>
      </c>
      <c r="J11" s="103">
        <f>IF(H11="","",H11*10)</f>
        <v/>
      </c>
      <c r="K11" s="11" t="n"/>
    </row>
    <row r="12" ht="15" customHeight="1" s="3" thickBot="1">
      <c r="A12" s="59" t="inlineStr">
        <is>
          <t>LA.10</t>
        </is>
      </c>
      <c r="B12" s="59" t="inlineStr">
        <is>
          <t>Se ha evitado el texto parpadeante / deslizante</t>
        </is>
      </c>
      <c r="C12" s="51" t="n">
        <v>10</v>
      </c>
      <c r="D12" s="52">
        <f>IF(OR(TipoDeSitio="",C12="NA"),"",VLOOKUP(CONCATENATE(A12,": ",B12),Tabla625,MATCH(TipoDeSitio,Tipos,0)+1,0))</f>
        <v/>
      </c>
      <c r="E12" s="44" t="inlineStr">
        <is>
          <t>No se usan elementos &lt;blink&gt;, marquee ni animaciones CSS cíclicas.</t>
        </is>
      </c>
      <c r="F12" s="37">
        <f>IF(C12="","",VLOOKUP(C12,ValoresVC,2,0))</f>
        <v/>
      </c>
      <c r="G12" s="37">
        <f>IF(D12="","",VLOOKUP($D12,ValoresRC,2,0))</f>
        <v/>
      </c>
      <c r="H12" s="102">
        <f>IF(OR(G12="",G12=0,'Cálculo de % usabilidad'!$F$5=0),"",G12/'Cálculo de % usabilidad'!$F$5)</f>
        <v/>
      </c>
      <c r="I12" s="102">
        <f>IF(OR(H12="",F12=""),"",H12*F12)</f>
        <v/>
      </c>
      <c r="J12" s="103">
        <f>IF(H12="","",H12*10)</f>
        <v/>
      </c>
      <c r="K12" t="inlineStr">
        <is>
          <t>Núm.elementos evaluados</t>
        </is>
      </c>
      <c r="L12" s="12">
        <f>10-(COUNTIF(C3:C12,"NA")+COUNTBLANK(C3:C12))</f>
        <v/>
      </c>
      <c r="M12" t="inlineStr">
        <is>
          <t xml:space="preserve"> (no contabiliza ni los vacíos ni los NA)</t>
        </is>
      </c>
    </row>
    <row r="13" ht="15" customHeight="1" s="3" thickBot="1">
      <c r="G13" s="50">
        <f>IF(SUM(G3:G12)=0,"",SUM(G3:G12))</f>
        <v/>
      </c>
    </row>
    <row r="14">
      <c r="A14" s="1" t="inlineStr">
        <is>
          <t>Instrucciones</t>
        </is>
      </c>
      <c r="C14" s="8" t="inlineStr">
        <is>
          <t>Leyenda Valor</t>
        </is>
      </c>
      <c r="D14" s="9" t="n"/>
      <c r="E14" s="9" t="n"/>
      <c r="F14" s="9" t="n"/>
      <c r="G14" s="9" t="n"/>
      <c r="H14" s="9" t="n"/>
      <c r="I14" s="9" t="n"/>
      <c r="J14" s="9" t="n"/>
    </row>
    <row r="15">
      <c r="A15" t="inlineStr">
        <is>
          <t>1. Evalue cada criterio y rellene la columna "Valor" según la leyenda</t>
        </is>
      </c>
      <c r="C15" s="10" t="n">
        <v>0</v>
      </c>
      <c r="D15" s="9" t="inlineStr">
        <is>
          <t>No se cumple en absoluto</t>
        </is>
      </c>
      <c r="E15" s="9" t="n"/>
      <c r="F15" s="10" t="inlineStr">
        <is>
          <t>NEP</t>
        </is>
      </c>
      <c r="G15" s="9" t="inlineStr">
        <is>
          <t>No se cumple en los enlaces principales</t>
        </is>
      </c>
      <c r="H15" s="9" t="n"/>
      <c r="I15" s="9" t="n"/>
      <c r="J15" s="9" t="n"/>
    </row>
    <row r="16">
      <c r="A16" t="inlineStr">
        <is>
          <t>2. Añada sus comentarios o la referencia a los mismos en otro documento anexo en la columna "Comentarios"</t>
        </is>
      </c>
      <c r="C16" s="10" t="n">
        <v>10</v>
      </c>
      <c r="D16" s="9" t="inlineStr">
        <is>
          <t>Se cumple totalmente</t>
        </is>
      </c>
      <c r="E16" s="9" t="n"/>
      <c r="F16" s="10" t="inlineStr">
        <is>
          <t xml:space="preserve">NPP </t>
        </is>
      </c>
      <c r="G16" s="9" t="inlineStr">
        <is>
          <t>No se cumple en la página principal</t>
        </is>
      </c>
      <c r="H16" s="9" t="n"/>
      <c r="I16" s="9" t="n"/>
      <c r="J16" s="9" t="n"/>
    </row>
    <row r="17">
      <c r="C17" s="10" t="inlineStr">
        <is>
          <t>NA</t>
        </is>
      </c>
      <c r="D17" s="9" t="inlineStr">
        <is>
          <t>Criterio no aplicable en el sitio</t>
        </is>
      </c>
      <c r="E17" s="9" t="n"/>
      <c r="F17" s="10" t="inlineStr">
        <is>
          <t>NPI</t>
        </is>
      </c>
      <c r="G17" s="9" t="inlineStr">
        <is>
          <t>No se cumple en alguna página interior</t>
        </is>
      </c>
      <c r="H17" s="9" t="n"/>
      <c r="I17" s="9" t="n"/>
      <c r="J17" s="9" t="n"/>
    </row>
    <row r="18">
      <c r="C18" s="10" t="inlineStr">
        <is>
          <t xml:space="preserve">NTS </t>
        </is>
      </c>
      <c r="D18" s="9" t="inlineStr">
        <is>
          <t>No se cumple en todo el sitio</t>
        </is>
      </c>
      <c r="E18" s="9" t="n"/>
      <c r="F18" s="10" t="inlineStr">
        <is>
          <t xml:space="preserve">S </t>
        </is>
      </c>
      <c r="G18" s="9" t="inlineStr">
        <is>
          <t>Se cumple el criterio</t>
        </is>
      </c>
      <c r="H18" s="9" t="n"/>
      <c r="I18" s="9" t="n"/>
      <c r="J18" s="9" t="n"/>
    </row>
    <row r="19"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C20" s="11" t="n"/>
      <c r="D20" s="11" t="n"/>
      <c r="E20" s="11" t="n"/>
    </row>
    <row r="21">
      <c r="A21" s="11" t="n"/>
      <c r="B21" s="11" t="n"/>
      <c r="C21" s="11" t="n"/>
      <c r="D21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dataValidations count="2">
    <dataValidation sqref="C7:C8" showDropDown="0" showInputMessage="1" showErrorMessage="1" allowBlank="1" type="list">
      <formula1>Valores1</formula1>
    </dataValidation>
    <dataValidation sqref="C3:C6 C9:C12" showDropDown="0" showInputMessage="1" showErrorMessage="1" allowBlank="1" type="list">
      <formula1>Valores2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Hoja7">
    <outlinePr summaryBelow="1" summaryRight="1"/>
    <pageSetUpPr/>
  </sheetPr>
  <dimension ref="A1:M20"/>
  <sheetViews>
    <sheetView showGridLines="0" zoomScaleNormal="100" workbookViewId="0">
      <selection activeCell="C1" sqref="C1"/>
    </sheetView>
  </sheetViews>
  <sheetFormatPr baseColWidth="10" defaultRowHeight="14.4"/>
  <cols>
    <col width="92" customWidth="1" style="3" min="2" max="2"/>
    <col width="13.33203125" customWidth="1" style="3" min="4" max="4"/>
    <col width="29.5546875" customWidth="1" style="3" min="5" max="5"/>
    <col width="18" customWidth="1" style="3" min="6" max="6"/>
    <col width="29.44140625" customWidth="1" style="3" min="7" max="7"/>
    <col width="26" customWidth="1" style="3" min="8" max="10"/>
    <col width="25.88671875" customWidth="1" style="3" min="11" max="11"/>
    <col width="5.88671875" customWidth="1" style="3" min="12" max="12"/>
  </cols>
  <sheetData>
    <row r="1" ht="36.75" customHeight="1" s="3">
      <c r="A1" s="4" t="inlineStr">
        <is>
          <t>CRITERIOS DEL "ENTENDIBILIDAD Y FACILIDAD EN LA INTERACCIÓN": Elementos relacionados con la adecuación y calidad de los contenidos textuales, iconos y controles de la interfaz.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59" t="inlineStr">
        <is>
          <t>EF.1</t>
        </is>
      </c>
      <c r="B3" s="58" t="inlineStr">
        <is>
          <t>Se emplea un lenguaje claro y conciso</t>
        </is>
      </c>
      <c r="C3" s="51" t="n">
        <v>10</v>
      </c>
      <c r="D3" s="52">
        <f>IF(OR(TipoDeSitio="",C3="NA"),"",VLOOKUP(CONCATENATE(A3,": ",B3),Tabla626,MATCH(TipoDeSitio,Tipos,0)+1,0))</f>
        <v/>
      </c>
      <c r="E3" s="44" t="inlineStr">
        <is>
          <t>Párrafos cortos; etiquetas de campo directas: "Lugar de Origen", "Fecha del Traslado".</t>
        </is>
      </c>
      <c r="F3" s="37">
        <f>IF(C3="","",VLOOKUP(C3,ValoresVC,2,0))</f>
        <v/>
      </c>
      <c r="G3" s="37">
        <f>IF(D3="","",VLOOKUP($D3,ValoresRC,2,0))</f>
        <v/>
      </c>
      <c r="H3" s="102">
        <f>IF(OR(G3="",G3=0,'Cálculo de % usabilidad'!$F$5=0),"",G3/'Cálculo de % usabilidad'!$F$5)</f>
        <v/>
      </c>
      <c r="I3" s="102">
        <f>IF(OR(H3="",F3=""),"",H3*F3)</f>
        <v/>
      </c>
      <c r="J3" s="103">
        <f>IF(H3="","",H3*10)</f>
        <v/>
      </c>
      <c r="K3" s="11" t="n"/>
    </row>
    <row r="4">
      <c r="A4" s="59" t="inlineStr">
        <is>
          <t>EF.2</t>
        </is>
      </c>
      <c r="B4" s="59" t="inlineStr">
        <is>
          <t>Lenguaje  amigable, familiar y cercano</t>
        </is>
      </c>
      <c r="C4" s="51" t="n">
        <v>10</v>
      </c>
      <c r="D4" s="52">
        <f>IF(OR(TipoDeSitio="",C4="NA"),"",VLOOKUP(CONCATENATE(A4,": ",B4),Tabla626,MATCH(TipoDeSitio,Tipos,0)+1,0))</f>
        <v/>
      </c>
      <c r="E4" s="44" t="inlineStr">
        <is>
          <t>Tono informativo y amable sin tecnicismos.</t>
        </is>
      </c>
      <c r="F4" s="37">
        <f>IF(C4="","",VLOOKUP(C4,ValoresVC,2,0))</f>
        <v/>
      </c>
      <c r="G4" s="37">
        <f>IF(D4="","",VLOOKUP($D4,ValoresRC,2,0))</f>
        <v/>
      </c>
      <c r="H4" s="102">
        <f>IF(OR(G4="",G4=0,'Cálculo de % usabilidad'!$F$5=0),"",G4/'Cálculo de % usabilidad'!$F$5)</f>
        <v/>
      </c>
      <c r="I4" s="102">
        <f>IF(OR(H4="",F4=""),"",H4*F4)</f>
        <v/>
      </c>
      <c r="J4" s="103">
        <f>IF(H4="","",H4*10)</f>
        <v/>
      </c>
      <c r="K4" s="11" t="n"/>
    </row>
    <row r="5">
      <c r="A5" s="59" t="inlineStr">
        <is>
          <t>EF.3</t>
        </is>
      </c>
      <c r="B5" s="59" t="inlineStr">
        <is>
          <t>Cada párrafo expresa una idea</t>
        </is>
      </c>
      <c r="C5" s="51" t="n">
        <v>10</v>
      </c>
      <c r="D5" s="52">
        <f>IF(OR(TipoDeSitio="",C5="NA"),"",VLOOKUP(CONCATENATE(A5,": ",B5),Tabla626,MATCH(TipoDeSitio,Tipos,0)+1,0))</f>
        <v/>
      </c>
      <c r="E5" s="44" t="inlineStr">
        <is>
          <t>Cada bloque de texto tiene un único propósito semántico.</t>
        </is>
      </c>
      <c r="F5" s="37">
        <f>IF(C5="","",VLOOKUP(C5,ValoresVC,2,0))</f>
        <v/>
      </c>
      <c r="G5" s="37">
        <f>IF(D5="","",VLOOKUP($D5,ValoresRC,2,0))</f>
        <v/>
      </c>
      <c r="H5" s="102">
        <f>IF(OR(G5="",G5=0,'Cálculo de % usabilidad'!$F$5=0),"",G5/'Cálculo de % usabilidad'!$F$5)</f>
        <v/>
      </c>
      <c r="I5" s="102">
        <f>IF(OR(H5="",F5=""),"",H5*F5)</f>
        <v/>
      </c>
      <c r="J5" s="103">
        <f>IF(H5="","",H5*10)</f>
        <v/>
      </c>
      <c r="K5" s="11" t="n"/>
    </row>
    <row r="6">
      <c r="A6" s="59" t="inlineStr">
        <is>
          <t>EF.4</t>
        </is>
      </c>
      <c r="B6" s="58" t="inlineStr">
        <is>
          <t>Uso consistente de los controles de la interfaz</t>
        </is>
      </c>
      <c r="C6" s="51" t="n">
        <v>10</v>
      </c>
      <c r="D6" s="52">
        <f>IF(OR(TipoDeSitio="",C6="NA"),"",VLOOKUP(CONCATENATE(A6,": ",B6),Tabla626,MATCH(TipoDeSitio,Tipos,0)+1,0))</f>
        <v/>
      </c>
      <c r="E6" s="44" t="inlineStr">
        <is>
          <t>Botones, selects e inputs siguen el patrón Bootstrap en todas las páginas.</t>
        </is>
      </c>
      <c r="F6" s="37">
        <f>IF(C6="","",VLOOKUP(C6,ValoresVC,2,0))</f>
        <v/>
      </c>
      <c r="G6" s="37">
        <f>IF(D6="","",VLOOKUP($D6,ValoresRC,2,0))</f>
        <v/>
      </c>
      <c r="H6" s="102">
        <f>IF(OR(G6="",G6=0,'Cálculo de % usabilidad'!$F$5=0),"",G6/'Cálculo de % usabilidad'!$F$5)</f>
        <v/>
      </c>
      <c r="I6" s="102">
        <f>IF(OR(H6="",F6=""),"",H6*F6)</f>
        <v/>
      </c>
      <c r="J6" s="103">
        <f>IF(H6="","",H6*10)</f>
        <v/>
      </c>
      <c r="K6" s="11" t="n"/>
    </row>
    <row r="7">
      <c r="A7" s="59" t="inlineStr">
        <is>
          <t>EF.5</t>
        </is>
      </c>
      <c r="B7" s="58" t="inlineStr">
        <is>
          <t>Metáforas visuales reconocibles y comprensibles por cualquier usuario (ej.: iconos)</t>
        </is>
      </c>
      <c r="C7" s="51" t="n">
        <v>10</v>
      </c>
      <c r="D7" s="52">
        <f>IF(OR(TipoDeSitio="",C7="NA"),"",VLOOKUP(CONCATENATE(A7,": ",B7),Tabla626,MATCH(TipoDeSitio,Tipos,0)+1,0))</f>
        <v/>
      </c>
      <c r="E7" s="44" t="inlineStr">
        <is>
          <t>Iconos de emoji (📍📞✉️) en la página de contacto; iconos de tema/idioma en la nav.</t>
        </is>
      </c>
      <c r="F7" s="37">
        <f>IF(C7="","",VLOOKUP(C7,ValoresVC,2,0))</f>
        <v/>
      </c>
      <c r="G7" s="37">
        <f>IF(D7="","",VLOOKUP($D7,ValoresRC,2,0))</f>
        <v/>
      </c>
      <c r="H7" s="102">
        <f>IF(OR(G7="",G7=0,'Cálculo de % usabilidad'!$F$5=0),"",G7/'Cálculo de % usabilidad'!$F$5)</f>
        <v/>
      </c>
      <c r="I7" s="102">
        <f>IF(OR(H7="",F7=""),"",H7*F7)</f>
        <v/>
      </c>
      <c r="J7" s="103">
        <f>IF(H7="","",H7*10)</f>
        <v/>
      </c>
      <c r="K7" s="11" t="n"/>
    </row>
    <row r="8">
      <c r="A8" s="59" t="inlineStr">
        <is>
          <t>EF.6</t>
        </is>
      </c>
      <c r="B8" s="58" t="inlineStr">
        <is>
          <t>Si se usan menús desplegables, orden coherente o alfabético</t>
        </is>
      </c>
      <c r="C8" s="51" t="n">
        <v>10</v>
      </c>
      <c r="D8" s="52">
        <f>IF(OR(TipoDeSitio="",C8="NA"),"",VLOOKUP(CONCATENATE(A8,": ",B8),Tabla626,MATCH(TipoDeSitio,Tipos,0)+1,0))</f>
        <v/>
      </c>
      <c r="E8" s="44" t="inlineStr">
        <is>
          <t>Lista de destinos en orden geográfico lógico; extras en orden lógico.</t>
        </is>
      </c>
      <c r="F8" s="37">
        <f>IF(C8="","",VLOOKUP(C8,ValoresVC,2,0))</f>
        <v/>
      </c>
      <c r="G8" s="37">
        <f>IF(D8="","",VLOOKUP($D8,ValoresRC,2,0))</f>
        <v/>
      </c>
      <c r="H8" s="102">
        <f>IF(OR(G8="",G8=0,'Cálculo de % usabilidad'!$F$5=0),"",G8/'Cálculo de % usabilidad'!$F$5)</f>
        <v/>
      </c>
      <c r="I8" s="102">
        <f>IF(OR(H8="",F8=""),"",H8*F8)</f>
        <v/>
      </c>
      <c r="J8" s="103">
        <f>IF(H8="","",H8*10)</f>
        <v/>
      </c>
      <c r="K8" s="11" t="n"/>
    </row>
    <row r="9" ht="29.4" customHeight="1" s="3" thickBot="1">
      <c r="A9" s="59" t="inlineStr">
        <is>
          <t>EF.7</t>
        </is>
      </c>
      <c r="B9" s="58" t="inlineStr">
        <is>
          <t>Si el usuario tiene que rellenar un campo, las opciones  disponibles se pueden seleccionar en vez de tener que escribirlas</t>
        </is>
      </c>
      <c r="C9" s="51" t="n">
        <v>10</v>
      </c>
      <c r="D9" s="52">
        <f>IF(OR(TipoDeSitio="",C9="NA"),"",VLOOKUP(CONCATENATE(A9,": ",B9),Tabla626,MATCH(TipoDeSitio,Tipos,0)+1,0))</f>
        <v/>
      </c>
      <c r="E9" s="44" t="inlineStr">
        <is>
          <t>Origen, destino, extras y número de pasajeros usan &lt;select&gt; e &lt;input&gt; estándar.</t>
        </is>
      </c>
      <c r="F9" s="37">
        <f>IF(C9="","",VLOOKUP(C9,ValoresVC,2,0))</f>
        <v/>
      </c>
      <c r="G9" s="37">
        <f>IF(D9="","",VLOOKUP($D9,ValoresRC,2,0))</f>
        <v/>
      </c>
      <c r="H9" s="102">
        <f>IF(OR(G9="",G9=0,'Cálculo de % usabilidad'!$F$5=0),"",G9/'Cálculo de % usabilidad'!$F$5)</f>
        <v/>
      </c>
      <c r="I9" s="102">
        <f>IF(OR(H9="",F9=""),"",H9*F9)</f>
        <v/>
      </c>
      <c r="J9" s="103">
        <f>IF(H9="","",H9*10)</f>
        <v/>
      </c>
      <c r="K9" t="inlineStr">
        <is>
          <t>Núm.elementos evaluados</t>
        </is>
      </c>
      <c r="L9" s="12">
        <f>7-(COUNTIF(C3:C9,"NA")+COUNTBLANK(C3:C9))</f>
        <v/>
      </c>
      <c r="M9" t="inlineStr">
        <is>
          <t xml:space="preserve"> (no contabiliza ni los vacíos ni los NA)</t>
        </is>
      </c>
    </row>
    <row r="10" ht="15" customHeight="1" s="3" thickBot="1">
      <c r="G10" s="50">
        <f>IF(SUM(G3:G9)=0,"",SUM(G3:G9))</f>
        <v/>
      </c>
    </row>
    <row r="11">
      <c r="A11" s="1" t="inlineStr">
        <is>
          <t>Instrucciones</t>
        </is>
      </c>
      <c r="C11" s="8" t="inlineStr">
        <is>
          <t>Leyenda Valor</t>
        </is>
      </c>
      <c r="D11" s="9" t="n"/>
      <c r="E11" s="9" t="n"/>
      <c r="F11" s="9" t="n"/>
      <c r="G11" s="9" t="n"/>
      <c r="H11" s="9" t="n"/>
      <c r="I11" s="9" t="n"/>
      <c r="J11" s="9" t="n"/>
    </row>
    <row r="12">
      <c r="A12" t="inlineStr">
        <is>
          <t>1. Evalue cada criterio y rellene la columna "Valor" según la leyenda</t>
        </is>
      </c>
      <c r="C12" s="10" t="n">
        <v>0</v>
      </c>
      <c r="D12" s="9" t="inlineStr">
        <is>
          <t>No se cumple en absoluto</t>
        </is>
      </c>
      <c r="E12" s="9" t="n"/>
      <c r="F12" s="10" t="inlineStr">
        <is>
          <t>NEP</t>
        </is>
      </c>
      <c r="G12" s="9" t="inlineStr">
        <is>
          <t>No se cumple en los enlaces principales</t>
        </is>
      </c>
      <c r="H12" s="9" t="n"/>
      <c r="I12" s="9" t="n"/>
      <c r="J12" s="9" t="n"/>
    </row>
    <row r="13">
      <c r="A13" t="inlineStr">
        <is>
          <t>2. Añada sus comentarios o la referencia a los mismos en otro documento anexo en la columna "Comentarios"</t>
        </is>
      </c>
      <c r="C13" s="10" t="n">
        <v>10</v>
      </c>
      <c r="D13" s="9" t="inlineStr">
        <is>
          <t>Se cumple totalmente</t>
        </is>
      </c>
      <c r="E13" s="9" t="n"/>
      <c r="F13" s="10" t="inlineStr">
        <is>
          <t xml:space="preserve">NPP </t>
        </is>
      </c>
      <c r="G13" s="9" t="inlineStr">
        <is>
          <t>No se cumple en la página principal</t>
        </is>
      </c>
      <c r="H13" s="9" t="n"/>
      <c r="I13" s="9" t="n"/>
      <c r="J13" s="9" t="n"/>
    </row>
    <row r="14">
      <c r="C14" s="10" t="inlineStr">
        <is>
          <t>NA</t>
        </is>
      </c>
      <c r="D14" s="9" t="inlineStr">
        <is>
          <t>Criterio no aplicable en el sitio</t>
        </is>
      </c>
      <c r="E14" s="9" t="n"/>
      <c r="F14" s="10" t="inlineStr">
        <is>
          <t>NPI</t>
        </is>
      </c>
      <c r="G14" s="9" t="inlineStr">
        <is>
          <t>No se cumple en alguna página interior</t>
        </is>
      </c>
      <c r="H14" s="9" t="n"/>
      <c r="I14" s="9" t="n"/>
      <c r="J14" s="9" t="n"/>
    </row>
    <row r="15">
      <c r="C15" s="10" t="inlineStr">
        <is>
          <t xml:space="preserve">NTS </t>
        </is>
      </c>
      <c r="D15" s="9" t="inlineStr">
        <is>
          <t>No se cumple en todo el sitio</t>
        </is>
      </c>
      <c r="E15" s="9" t="n"/>
      <c r="F15" s="10" t="inlineStr">
        <is>
          <t xml:space="preserve">S </t>
        </is>
      </c>
      <c r="G15" s="9" t="inlineStr">
        <is>
          <t>Se cumple el criterio</t>
        </is>
      </c>
      <c r="H15" s="9" t="n"/>
      <c r="I15" s="9" t="n"/>
      <c r="J15" s="9" t="n"/>
    </row>
    <row r="16">
      <c r="C16" s="9" t="n"/>
      <c r="D16" s="9" t="n"/>
      <c r="E16" s="9" t="n"/>
      <c r="F16" s="9" t="n"/>
      <c r="G16" s="9" t="n"/>
      <c r="H16" s="9" t="n"/>
      <c r="I16" s="9" t="n"/>
      <c r="J16" s="9" t="n"/>
    </row>
    <row r="17">
      <c r="C17" s="11" t="n"/>
      <c r="D17" s="11" t="n"/>
      <c r="E17" s="11" t="n"/>
    </row>
    <row r="18">
      <c r="A18" s="7" t="n"/>
      <c r="B18" s="11" t="n"/>
      <c r="C18" s="11" t="n"/>
      <c r="D18" s="11" t="n"/>
      <c r="E18" s="11" t="n"/>
    </row>
    <row r="19">
      <c r="A19" s="11" t="n"/>
      <c r="B19" s="11" t="n"/>
      <c r="C19" s="11" t="n"/>
      <c r="D19" s="11" t="n"/>
      <c r="E19" s="11" t="n"/>
    </row>
    <row r="20">
      <c r="A20" s="11" t="n"/>
      <c r="B20" s="11" t="n"/>
      <c r="C20" s="11" t="n"/>
      <c r="D20" s="11" t="n"/>
      <c r="E20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dataValidations count="1">
    <dataValidation sqref="C3:C9" showDropDown="0" showInputMessage="1" showErrorMessage="1" allowBlank="1" type="list">
      <formula1>Valores2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Hoja8">
    <outlinePr summaryBelow="1" summaryRight="1"/>
    <pageSetUpPr/>
  </sheetPr>
  <dimension ref="A1:M21"/>
  <sheetViews>
    <sheetView showGridLines="0" zoomScale="93" zoomScaleNormal="93" workbookViewId="0">
      <selection activeCell="A1" sqref="A1:K1"/>
    </sheetView>
  </sheetViews>
  <sheetFormatPr baseColWidth="10" defaultRowHeight="14.4"/>
  <cols>
    <col width="88.109375" customWidth="1" style="3" min="2" max="2"/>
    <col width="15" customWidth="1" style="3" min="4" max="4"/>
    <col width="30.6640625" customWidth="1" style="3" min="5" max="5"/>
    <col width="16.109375" customWidth="1" style="3" min="6" max="6"/>
    <col width="29.44140625" customWidth="1" style="3" min="7" max="7"/>
    <col width="22.44140625" customWidth="1" style="3" min="8" max="10"/>
    <col width="25.33203125" customWidth="1" style="3" min="11" max="11"/>
    <col width="4.109375" customWidth="1" style="3" min="12" max="12"/>
  </cols>
  <sheetData>
    <row r="1" ht="36.75" customHeight="1" s="3">
      <c r="A1" s="73" t="inlineStr">
        <is>
          <t>CRITERIOS DEL "CONTROL Y RETORALIMENTACIÓN": Elementos relacionados con libertad del usuario en la navegación y la información proporcionada al mismo en el proceso de interacción con el sitio.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59" t="inlineStr">
        <is>
          <t>CR.1</t>
        </is>
      </c>
      <c r="B3" s="58" t="inlineStr">
        <is>
          <t>El usuario tiene todo el control sobre la interfaz</t>
        </is>
      </c>
      <c r="C3" s="51" t="n">
        <v>10</v>
      </c>
      <c r="D3" s="52">
        <f>IF(OR(TipoDeSitio="",C3="NA"),"",VLOOKUP(CONCATENATE(A3,": ",B3),Tabla627,MATCH(TipoDeSitio,Tipos,0)+1,0))</f>
        <v/>
      </c>
      <c r="E3" s="44" t="inlineStr">
        <is>
          <t>El usuario puede navegar libremente, cancelar modales y modificar datos.</t>
        </is>
      </c>
      <c r="F3" s="37">
        <f>IF(C3="","",VLOOKUP(C3,ValoresVC,2,0))</f>
        <v/>
      </c>
      <c r="G3" s="37">
        <f>IF(D3="","",VLOOKUP($D3,ValoresRC,2,0))</f>
        <v/>
      </c>
      <c r="H3" s="102">
        <f>IF(OR(G3="",G3=0,'Cálculo de % usabilidad'!$F$5=0),"",G3/'Cálculo de % usabilidad'!$F$5)</f>
        <v/>
      </c>
      <c r="I3" s="102">
        <f>IF(OR(H3="",F3=""),"",H3*F3)</f>
        <v/>
      </c>
      <c r="J3" s="103">
        <f>IF(H3="","",H3*10)</f>
        <v/>
      </c>
      <c r="K3" s="11" t="n"/>
    </row>
    <row r="4">
      <c r="A4" s="59" t="inlineStr">
        <is>
          <t>CR.2</t>
        </is>
      </c>
      <c r="B4" s="59" t="inlineStr">
        <is>
          <t>Se informa al usuario acerca de lo que está pasando</t>
        </is>
      </c>
      <c r="C4" s="51" t="n">
        <v>10</v>
      </c>
      <c r="D4" s="52">
        <f>IF(OR(TipoDeSitio="",C4="NA"),"",VLOOKUP(CONCATENATE(A4,": ",B4),Tabla627,MATCH(TipoDeSitio,Tipos,0)+1,0))</f>
        <v/>
      </c>
      <c r="E4" s="44" t="inlineStr">
        <is>
          <t>Modal de confirmación muestra resumen antes de pagar; precio se actualiza en tiempo real.</t>
        </is>
      </c>
      <c r="F4" s="37">
        <f>IF(C4="","",VLOOKUP(C4,ValoresVC,2,0))</f>
        <v/>
      </c>
      <c r="G4" s="37">
        <f>IF(D4="","",VLOOKUP($D4,ValoresRC,2,0))</f>
        <v/>
      </c>
      <c r="H4" s="102">
        <f>IF(OR(G4="",G4=0,'Cálculo de % usabilidad'!$F$5=0),"",G4/'Cálculo de % usabilidad'!$F$5)</f>
        <v/>
      </c>
      <c r="I4" s="102">
        <f>IF(OR(H4="",F4=""),"",H4*F4)</f>
        <v/>
      </c>
      <c r="J4" s="103">
        <f>IF(H4="","",H4*10)</f>
        <v/>
      </c>
      <c r="K4" s="11" t="n"/>
    </row>
    <row r="5">
      <c r="A5" s="59" t="inlineStr">
        <is>
          <t>CR.3</t>
        </is>
      </c>
      <c r="B5" s="59" t="inlineStr">
        <is>
          <t>Se informa al usuario de lo que ha pasado</t>
        </is>
      </c>
      <c r="C5" s="51" t="n">
        <v>10</v>
      </c>
      <c r="D5" s="52">
        <f>IF(OR(TipoDeSitio="",C5="NA"),"",VLOOKUP(CONCATENATE(A5,": ",B5),Tabla627,MATCH(TipoDeSitio,Tipos,0)+1,0))</f>
        <v/>
      </c>
      <c r="E5" s="44" t="inlineStr">
        <is>
          <t>Código de reserva TX-12345 generado y mostrado al finalizar el pago.</t>
        </is>
      </c>
      <c r="F5" s="37">
        <f>IF(C5="","",VLOOKUP(C5,ValoresVC,2,0))</f>
        <v/>
      </c>
      <c r="G5" s="37">
        <f>IF(D5="","",VLOOKUP($D5,ValoresRC,2,0))</f>
        <v/>
      </c>
      <c r="H5" s="102">
        <f>IF(OR(G5="",G5=0,'Cálculo de % usabilidad'!$F$5=0),"",G5/'Cálculo de % usabilidad'!$F$5)</f>
        <v/>
      </c>
      <c r="I5" s="102">
        <f>IF(OR(H5="",F5=""),"",H5*F5)</f>
        <v/>
      </c>
      <c r="J5" s="103">
        <f>IF(H5="","",H5*10)</f>
        <v/>
      </c>
      <c r="K5" s="11" t="n"/>
    </row>
    <row r="6" ht="15.75" customHeight="1" s="3">
      <c r="A6" s="59" t="inlineStr">
        <is>
          <t>CR.4</t>
        </is>
      </c>
      <c r="B6" s="58" t="inlineStr">
        <is>
          <t>Existen sistemas de validación antes de que el usuario envíe información para tratar de evitar errores</t>
        </is>
      </c>
      <c r="C6" s="51" t="n">
        <v>10</v>
      </c>
      <c r="D6" s="52">
        <f>IF(OR(TipoDeSitio="",C6="NA"),"",VLOOKUP(CONCATENATE(A6,": ",B6),Tabla627,MATCH(TipoDeSitio,Tipos,0)+1,0))</f>
        <v/>
      </c>
      <c r="E6" s="44" t="inlineStr">
        <is>
          <t>bookingValidation.js valida todos los campos antes de mostrar el modal de confirmación.</t>
        </is>
      </c>
      <c r="F6" s="37">
        <f>IF(C6="","",VLOOKUP(C6,ValoresVC,2,0))</f>
        <v/>
      </c>
      <c r="G6" s="37">
        <f>IF(D6="","",VLOOKUP($D6,ValoresRC,2,0))</f>
        <v/>
      </c>
      <c r="H6" s="102">
        <f>IF(OR(G6="",G6=0,'Cálculo de % usabilidad'!$F$5=0),"",G6/'Cálculo de % usabilidad'!$F$5)</f>
        <v/>
      </c>
      <c r="I6" s="102">
        <f>IF(OR(H6="",F6=""),"",H6*F6)</f>
        <v/>
      </c>
      <c r="J6" s="103">
        <f>IF(H6="","",H6*10)</f>
        <v/>
      </c>
      <c r="K6" s="11" t="n"/>
    </row>
    <row r="7" ht="28.8" customHeight="1" s="3">
      <c r="A7" s="59" t="inlineStr">
        <is>
          <t>CR.5</t>
        </is>
      </c>
      <c r="B7" s="58" t="inlineStr">
        <is>
          <t>Cuando se produce un error, se informa de forma clara y no alarmista al usuario de lo ocurrido y de cómo solucionar el problema</t>
        </is>
      </c>
      <c r="C7" s="51" t="n">
        <v>10</v>
      </c>
      <c r="D7" s="52">
        <f>IF(OR(TipoDeSitio="",C7="NA"),"",VLOOKUP(CONCATENATE(A7,": ",B7),Tabla627,MATCH(TipoDeSitio,Tipos,0)+1,0))</f>
        <v/>
      </c>
      <c r="E7" s="44" t="inlineStr">
        <is>
          <t>Mensajes de error inline junto a cada campo inválido.</t>
        </is>
      </c>
      <c r="F7" s="37">
        <f>IF(C7="","",VLOOKUP(C7,ValoresVC,2,0))</f>
        <v/>
      </c>
      <c r="G7" s="37">
        <f>IF(D7="","",VLOOKUP($D7,ValoresRC,2,0))</f>
        <v/>
      </c>
      <c r="H7" s="102">
        <f>IF(OR(G7="",G7=0,'Cálculo de % usabilidad'!$F$5=0),"",G7/'Cálculo de % usabilidad'!$F$5)</f>
        <v/>
      </c>
      <c r="I7" s="102">
        <f>IF(OR(H7="",F7=""),"",H7*F7)</f>
        <v/>
      </c>
      <c r="J7" s="103">
        <f>IF(H7="","",H7*10)</f>
        <v/>
      </c>
      <c r="K7" s="11" t="n"/>
    </row>
    <row r="8">
      <c r="A8" s="59" t="inlineStr">
        <is>
          <t>CR.6</t>
        </is>
      </c>
      <c r="B8" s="58" t="inlineStr">
        <is>
          <t>Se ha controlado el tiempo de respuesta</t>
        </is>
      </c>
      <c r="C8" s="51" t="n">
        <v>10</v>
      </c>
      <c r="D8" s="52">
        <f>IF(OR(TipoDeSitio="",C8="NA"),"",VLOOKUP(CONCATENATE(A8,": ",B8),Tabla627,MATCH(TipoDeSitio,Tipos,0)+1,0))</f>
        <v/>
      </c>
      <c r="E8" s="44" t="inlineStr">
        <is>
          <t>Todo el procesamiento es en cliente; sin latencia de red.</t>
        </is>
      </c>
      <c r="F8" s="37">
        <f>IF(C8="","",VLOOKUP(C8,ValoresVC,2,0))</f>
        <v/>
      </c>
      <c r="G8" s="37">
        <f>IF(D8="","",VLOOKUP($D8,ValoresRC,2,0))</f>
        <v/>
      </c>
      <c r="H8" s="102">
        <f>IF(OR(G8="",G8=0,'Cálculo de % usabilidad'!$F$5=0),"",G8/'Cálculo de % usabilidad'!$F$5)</f>
        <v/>
      </c>
      <c r="I8" s="102">
        <f>IF(OR(H8="",F8=""),"",H8*F8)</f>
        <v/>
      </c>
      <c r="J8" s="103">
        <f>IF(H8="","",H8*10)</f>
        <v/>
      </c>
      <c r="K8" s="11" t="n"/>
    </row>
    <row r="9">
      <c r="A9" s="59" t="inlineStr">
        <is>
          <t>CR.7</t>
        </is>
      </c>
      <c r="B9" s="58" t="inlineStr">
        <is>
          <t>Se ha evitado que las ventanas del sitio anulen o se superpongan a la del navegador</t>
        </is>
      </c>
      <c r="C9" s="51" t="n">
        <v>10</v>
      </c>
      <c r="D9" s="52">
        <f>IF(OR(TipoDeSitio="",C9="NA"),"",VLOOKUP(CONCATENATE(A9,": ",B9),Tabla627,MATCH(TipoDeSitio,Tipos,0)+1,0))</f>
        <v/>
      </c>
      <c r="E9" s="44" t="inlineStr">
        <is>
          <t>Los modales Bootstrap no abren ventanas nuevas; se superponen en la misma pestaña.</t>
        </is>
      </c>
      <c r="F9" s="37">
        <f>IF(C9="","",VLOOKUP(C9,ValoresVC,2,0))</f>
        <v/>
      </c>
      <c r="G9" s="37">
        <f>IF(D9="","",VLOOKUP($D9,ValoresRC,2,0))</f>
        <v/>
      </c>
      <c r="H9" s="102">
        <f>IF(OR(G9="",G9=0,'Cálculo de % usabilidad'!$F$5=0),"",G9/'Cálculo de % usabilidad'!$F$5)</f>
        <v/>
      </c>
      <c r="I9" s="102">
        <f>IF(OR(H9="",F9=""),"",H9*F9)</f>
        <v/>
      </c>
      <c r="J9" s="103">
        <f>IF(H9="","",H9*10)</f>
        <v/>
      </c>
      <c r="K9" s="11" t="n"/>
    </row>
    <row r="10">
      <c r="A10" s="59" t="inlineStr">
        <is>
          <t>CR.8</t>
        </is>
      </c>
      <c r="B10" s="59" t="inlineStr">
        <is>
          <t>Se ha evitado la proliferación de ventanas en la pantalla del usuario</t>
        </is>
      </c>
      <c r="C10" s="51" t="n">
        <v>10</v>
      </c>
      <c r="D10" s="52">
        <f>IF(OR(TipoDeSitio="",C10="NA"),"",VLOOKUP(CONCATENATE(A10,": ",B10),Tabla627,MATCH(TipoDeSitio,Tipos,0)+1,0))</f>
        <v/>
      </c>
      <c r="E10" s="44" t="inlineStr">
        <is>
          <t>Máximo un modal visible a la vez (confirmación o pago).</t>
        </is>
      </c>
      <c r="F10" s="37">
        <f>IF(C10="","",VLOOKUP(C10,ValoresVC,2,0))</f>
        <v/>
      </c>
      <c r="G10" s="37">
        <f>IF(D10="","",VLOOKUP($D10,ValoresRC,2,0))</f>
        <v/>
      </c>
      <c r="H10" s="102">
        <f>IF(OR(G10="",G10=0,'Cálculo de % usabilidad'!$F$5=0),"",G10/'Cálculo de % usabilidad'!$F$5)</f>
        <v/>
      </c>
      <c r="I10" s="102">
        <f>IF(OR(H10="",F10=""),"",H10*F10)</f>
        <v/>
      </c>
      <c r="J10" s="103">
        <f>IF(H10="","",H10*10)</f>
        <v/>
      </c>
      <c r="K10" s="11" t="n"/>
    </row>
    <row r="11">
      <c r="A11" s="59" t="inlineStr">
        <is>
          <t>CR.9</t>
        </is>
      </c>
      <c r="B11" s="58" t="inlineStr">
        <is>
          <t>Se ha evitado la descarga por parte del usuario de plugins adicionales</t>
        </is>
      </c>
      <c r="C11" s="51" t="n">
        <v>10</v>
      </c>
      <c r="D11" s="52">
        <f>IF(OR(TipoDeSitio="",C11="NA"),"",VLOOKUP(CONCATENATE(A11,": ",B11),Tabla627,MATCH(TipoDeSitio,Tipos,0)+1,0))</f>
        <v/>
      </c>
      <c r="E11" s="44" t="inlineStr">
        <is>
          <t>Solo se requiere Bootstrap CDN; no hay plugins propietarios.</t>
        </is>
      </c>
      <c r="F11" s="37">
        <f>IF(C11="","",VLOOKUP(C11,ValoresVC,2,0))</f>
        <v/>
      </c>
      <c r="G11" s="37">
        <f>IF(D11="","",VLOOKUP($D11,ValoresRC,2,0))</f>
        <v/>
      </c>
      <c r="H11" s="102">
        <f>IF(OR(G11="",G11=0,'Cálculo de % usabilidad'!$F$5=0),"",G11/'Cálculo de % usabilidad'!$F$5)</f>
        <v/>
      </c>
      <c r="I11" s="102">
        <f>IF(OR(H11="",F11=""),"",H11*F11)</f>
        <v/>
      </c>
      <c r="J11" s="103">
        <f>IF(H11="","",H11*10)</f>
        <v/>
      </c>
      <c r="K11" s="11" t="n"/>
    </row>
    <row r="12" ht="15" customHeight="1" s="3" thickBot="1">
      <c r="A12" s="59" t="inlineStr">
        <is>
          <t>CR.10</t>
        </is>
      </c>
      <c r="B12" s="58" t="inlineStr">
        <is>
          <t>Si existen tareas de varios pasos, se indica al usuario en cual está y cuantos faltan para completar la tarea</t>
        </is>
      </c>
      <c r="C12" s="51" t="n">
        <v>7</v>
      </c>
      <c r="D12" s="52">
        <f>IF(OR(TipoDeSitio="",C12="NA"),"",VLOOKUP(CONCATENATE(A12,": ",B12),Tabla627,MATCH(TipoDeSitio,Tipos,0)+1,0))</f>
        <v/>
      </c>
      <c r="E12" s="44" t="inlineStr">
        <is>
          <t>Los modales indican la fase (Confirmar / Pagar) pero no muestran "Paso X de Y".</t>
        </is>
      </c>
      <c r="F12" s="37">
        <f>IF(C12="","",VLOOKUP(C12,ValoresVC,2,0))</f>
        <v/>
      </c>
      <c r="G12" s="37">
        <f>IF(D12="","",VLOOKUP($D12,ValoresRC,2,0))</f>
        <v/>
      </c>
      <c r="H12" s="102">
        <f>IF(OR(G12="",G12=0,'Cálculo de % usabilidad'!$F$5=0),"",G12/'Cálculo de % usabilidad'!$F$5)</f>
        <v/>
      </c>
      <c r="I12" s="102">
        <f>IF(OR(H12="",F12=""),"",H12*F12)</f>
        <v/>
      </c>
      <c r="J12" s="103">
        <f>IF(H12="","",H12*10)</f>
        <v/>
      </c>
      <c r="K12" t="inlineStr">
        <is>
          <t>Núm.elementos evaluados</t>
        </is>
      </c>
      <c r="L12" s="12">
        <f>10-(COUNTIF(C3:C12,"NA")+COUNTBLANK(C3:C12))</f>
        <v/>
      </c>
      <c r="M12" t="inlineStr">
        <is>
          <t xml:space="preserve"> (no contabiliza ni los vacíos ni los NA)</t>
        </is>
      </c>
    </row>
    <row r="13" ht="15" customHeight="1" s="3" thickBot="1">
      <c r="G13" s="50">
        <f>IF(SUM(G3:G12)=0,"",SUM(G3:G12))</f>
        <v/>
      </c>
    </row>
    <row r="14">
      <c r="A14" s="1" t="inlineStr">
        <is>
          <t>Instrucciones</t>
        </is>
      </c>
      <c r="C14" s="8" t="inlineStr">
        <is>
          <t>Leyenda Valor</t>
        </is>
      </c>
      <c r="D14" s="9" t="n"/>
      <c r="E14" s="9" t="n"/>
      <c r="F14" s="9" t="n"/>
      <c r="G14" s="9" t="n"/>
      <c r="H14" s="9" t="n"/>
      <c r="I14" s="9" t="n"/>
      <c r="J14" s="9" t="n"/>
    </row>
    <row r="15">
      <c r="A15" t="inlineStr">
        <is>
          <t>1. Evalue cada criterio y rellene la columna "Valor" según la leyenda</t>
        </is>
      </c>
      <c r="C15" s="10" t="n">
        <v>0</v>
      </c>
      <c r="D15" s="9" t="inlineStr">
        <is>
          <t>No se cumple en absoluto</t>
        </is>
      </c>
      <c r="E15" s="9" t="n"/>
      <c r="F15" s="10" t="inlineStr">
        <is>
          <t>NEP</t>
        </is>
      </c>
      <c r="G15" s="9" t="inlineStr">
        <is>
          <t>No se cumple en los enlaces principales</t>
        </is>
      </c>
      <c r="H15" s="9" t="n"/>
      <c r="I15" s="9" t="n"/>
      <c r="J15" s="9" t="n"/>
    </row>
    <row r="16">
      <c r="A16" t="inlineStr">
        <is>
          <t>2. Añada sus comentarios o la referencia a los mismos en otro documento anexo en la columna "Comentarios"</t>
        </is>
      </c>
      <c r="C16" s="10" t="n">
        <v>10</v>
      </c>
      <c r="D16" s="9" t="inlineStr">
        <is>
          <t>Se cumple totalmente</t>
        </is>
      </c>
      <c r="E16" s="9" t="n"/>
      <c r="F16" s="10" t="inlineStr">
        <is>
          <t xml:space="preserve">NPP </t>
        </is>
      </c>
      <c r="G16" s="9" t="inlineStr">
        <is>
          <t>No se cumple en la página principal</t>
        </is>
      </c>
      <c r="H16" s="9" t="n"/>
      <c r="I16" s="9" t="n"/>
      <c r="J16" s="9" t="n"/>
    </row>
    <row r="17">
      <c r="C17" s="10" t="inlineStr">
        <is>
          <t>NA</t>
        </is>
      </c>
      <c r="D17" s="9" t="inlineStr">
        <is>
          <t>Criterio no aplicable en el sitio</t>
        </is>
      </c>
      <c r="E17" s="9" t="n"/>
      <c r="F17" s="10" t="inlineStr">
        <is>
          <t>NPI</t>
        </is>
      </c>
      <c r="G17" s="9" t="inlineStr">
        <is>
          <t>No se cumple en alguna página interior</t>
        </is>
      </c>
      <c r="H17" s="9" t="n"/>
      <c r="I17" s="9" t="n"/>
      <c r="J17" s="9" t="n"/>
    </row>
    <row r="18">
      <c r="C18" s="10" t="inlineStr">
        <is>
          <t xml:space="preserve">NTS </t>
        </is>
      </c>
      <c r="D18" s="9" t="inlineStr">
        <is>
          <t>No se cumple en todo el sitio</t>
        </is>
      </c>
      <c r="E18" s="9" t="n"/>
      <c r="F18" s="10" t="inlineStr">
        <is>
          <t xml:space="preserve">S </t>
        </is>
      </c>
      <c r="G18" s="9" t="inlineStr">
        <is>
          <t>Se cumple el criterio</t>
        </is>
      </c>
      <c r="H18" s="9" t="n"/>
      <c r="I18" s="9" t="n"/>
      <c r="J18" s="9" t="n"/>
    </row>
    <row r="19">
      <c r="C19" s="9" t="n"/>
      <c r="D19" s="9" t="n"/>
      <c r="E19" s="9" t="n"/>
      <c r="F19" s="9" t="n"/>
      <c r="G19" s="9" t="n"/>
      <c r="H19" s="9" t="n"/>
      <c r="I19" s="9" t="n"/>
      <c r="J19" s="9" t="n"/>
    </row>
    <row r="20">
      <c r="C20" s="11" t="n"/>
      <c r="D20" s="11" t="n"/>
      <c r="E20" s="11" t="n"/>
    </row>
    <row r="21">
      <c r="A21" s="11" t="n"/>
      <c r="B21" s="11" t="n"/>
      <c r="C21" s="11" t="n"/>
      <c r="D21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mergeCells count="1">
    <mergeCell ref="A1:K1"/>
  </mergeCells>
  <dataValidations count="1">
    <dataValidation sqref="C3:C12" showDropDown="0" showInputMessage="1" showErrorMessage="1" allowBlank="1" type="list">
      <formula1>Valores2</formula1>
    </dataValidation>
  </dataValidations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Hoja9">
    <outlinePr summaryBelow="1" summaryRight="1"/>
    <pageSetUpPr/>
  </sheetPr>
  <dimension ref="A1:M19"/>
  <sheetViews>
    <sheetView showGridLines="0" workbookViewId="0">
      <selection activeCell="C6" sqref="C6"/>
    </sheetView>
  </sheetViews>
  <sheetFormatPr baseColWidth="10" defaultRowHeight="14.4"/>
  <cols>
    <col width="97.44140625" customWidth="1" style="3" min="2" max="2"/>
    <col width="14.109375" customWidth="1" style="3" min="4" max="4"/>
    <col width="25" customWidth="1" style="3" min="5" max="5"/>
    <col width="17.33203125" customWidth="1" style="3" min="6" max="6"/>
    <col width="29.33203125" customWidth="1" style="3" min="7" max="7"/>
    <col width="23.33203125" customWidth="1" style="3" min="8" max="10"/>
    <col width="26.33203125" customWidth="1" style="3" min="11" max="11"/>
    <col width="4.5546875" customWidth="1" style="3" min="12" max="12"/>
  </cols>
  <sheetData>
    <row r="1" ht="36.75" customHeight="1" s="3">
      <c r="A1" s="4" t="inlineStr">
        <is>
          <t>CRITERIOS DEL "ELEMENTOS MULTIMEDIA": Elementos relacionados con el grado de adecuación de los contenidos multimedia al sitio web.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59" t="inlineStr">
        <is>
          <t>EM.1</t>
        </is>
      </c>
      <c r="B3" s="58" t="inlineStr">
        <is>
          <t>Fotografías bien recortadas</t>
        </is>
      </c>
      <c r="C3" s="51" t="inlineStr">
        <is>
          <t>NA</t>
        </is>
      </c>
      <c r="D3" s="52">
        <f>IF(OR(TipoDeSitio="",C3="NA"),"",VLOOKUP(CONCATENATE(A3,": ",B3),Tabla628,MATCH(TipoDeSitio,Tipos,0)+1,0))</f>
        <v/>
      </c>
      <c r="E3" s="44" t="inlineStr">
        <is>
          <t>El prototipo no incluye fotografías.</t>
        </is>
      </c>
      <c r="F3" s="22">
        <f>IF(C3="","",VLOOKUP(C3,ValoresVC,2,0))</f>
        <v/>
      </c>
      <c r="G3" s="37">
        <f>IF(D3="","",VLOOKUP($D3,ValoresRC,2,0))</f>
        <v/>
      </c>
      <c r="H3" s="102">
        <f>IF(OR(G3="",G3=0,'Cálculo de % usabilidad'!$F$5=0),"",G3/'Cálculo de % usabilidad'!$F$5)</f>
        <v/>
      </c>
      <c r="I3" s="102">
        <f>IF(OR(H3="",F3=""),"",H3*F3)</f>
        <v/>
      </c>
      <c r="J3" s="103">
        <f>IF(H3="","",H3*10)</f>
        <v/>
      </c>
      <c r="K3" s="11" t="n"/>
    </row>
    <row r="4">
      <c r="A4" s="59" t="inlineStr">
        <is>
          <t>EM.2</t>
        </is>
      </c>
      <c r="B4" s="59" t="inlineStr">
        <is>
          <t>Fotografías comprensibles</t>
        </is>
      </c>
      <c r="C4" s="51" t="inlineStr">
        <is>
          <t>NA</t>
        </is>
      </c>
      <c r="D4" s="52">
        <f>IF(OR(TipoDeSitio="",C4="NA"),"",VLOOKUP(CONCATENATE(A4,": ",B4),Tabla628,MATCH(TipoDeSitio,Tipos,0)+1,0))</f>
        <v/>
      </c>
      <c r="E4" s="44" t="inlineStr">
        <is>
          <t>El prototipo no incluye fotografías.</t>
        </is>
      </c>
      <c r="F4" s="22">
        <f>IF(C4="","",VLOOKUP(C4,ValoresVC,2,0))</f>
        <v/>
      </c>
      <c r="G4" s="37">
        <f>IF(D4="","",VLOOKUP($D4,ValoresRC,2,0))</f>
        <v/>
      </c>
      <c r="H4" s="102">
        <f>IF(OR(G4="",G4=0,'Cálculo de % usabilidad'!$F$5=0),"",G4/'Cálculo de % usabilidad'!$F$5)</f>
        <v/>
      </c>
      <c r="I4" s="102">
        <f>IF(OR(H4="",F4=""),"",H4*F4)</f>
        <v/>
      </c>
      <c r="J4" s="103">
        <f>IF(H4="","",H4*10)</f>
        <v/>
      </c>
      <c r="K4" s="11" t="n"/>
    </row>
    <row r="5">
      <c r="A5" s="59" t="inlineStr">
        <is>
          <t>EM.3</t>
        </is>
      </c>
      <c r="B5" s="59" t="inlineStr">
        <is>
          <t>Fotografías con correcta resolución</t>
        </is>
      </c>
      <c r="C5" s="51" t="inlineStr">
        <is>
          <t>NA</t>
        </is>
      </c>
      <c r="D5" s="52">
        <f>IF(OR(TipoDeSitio="",C5="NA"),"",VLOOKUP(CONCATENATE(A5,": ",B5),Tabla628,MATCH(TipoDeSitio,Tipos,0)+1,0))</f>
        <v/>
      </c>
      <c r="E5" s="44" t="inlineStr">
        <is>
          <t>El prototipo no incluye fotografías.</t>
        </is>
      </c>
      <c r="F5" s="22">
        <f>IF(C5="","",VLOOKUP(C5,ValoresVC,2,0))</f>
        <v/>
      </c>
      <c r="G5" s="37">
        <f>IF(D5="","",VLOOKUP($D5,ValoresRC,2,0))</f>
        <v/>
      </c>
      <c r="H5" s="102">
        <f>IF(OR(G5="",G5=0,'Cálculo de % usabilidad'!$F$5=0),"",G5/'Cálculo de % usabilidad'!$F$5)</f>
        <v/>
      </c>
      <c r="I5" s="102">
        <f>IF(OR(H5="",F5=""),"",H5*F5)</f>
        <v/>
      </c>
      <c r="J5" s="103">
        <f>IF(H5="","",H5*10)</f>
        <v/>
      </c>
      <c r="K5" s="11" t="n"/>
    </row>
    <row r="6">
      <c r="A6" s="59" t="inlineStr">
        <is>
          <t>EM.4</t>
        </is>
      </c>
      <c r="B6" s="58" t="inlineStr">
        <is>
          <t>El uso de imágenes o animaciones proporciona algún tipo de valor añadido</t>
        </is>
      </c>
      <c r="C6" s="51" t="n">
        <v>8</v>
      </c>
      <c r="D6" s="52">
        <f>IF(OR(TipoDeSitio="",C6="NA"),"",VLOOKUP(CONCATENATE(A6,": ",B6),Tabla628,MATCH(TipoDeSitio,Tipos,0)+1,0))</f>
        <v/>
      </c>
      <c r="E6" s="44" t="inlineStr">
        <is>
          <t>El logo SVG de taxi refuerza la identidad visual del servicio.</t>
        </is>
      </c>
      <c r="F6" s="22">
        <f>IF(C6="","",VLOOKUP(C6,ValoresVC,2,0))</f>
        <v/>
      </c>
      <c r="G6" s="37">
        <f>IF(D6="","",VLOOKUP($D6,ValoresRC,2,0))</f>
        <v/>
      </c>
      <c r="H6" s="102">
        <f>IF(OR(G6="",G6=0,'Cálculo de % usabilidad'!$F$5=0),"",G6/'Cálculo de % usabilidad'!$F$5)</f>
        <v/>
      </c>
      <c r="I6" s="102">
        <f>IF(OR(H6="",F6=""),"",H6*F6)</f>
        <v/>
      </c>
      <c r="J6" s="103">
        <f>IF(H6="","",H6*10)</f>
        <v/>
      </c>
      <c r="K6" s="11" t="n"/>
    </row>
    <row r="7">
      <c r="A7" s="59" t="inlineStr">
        <is>
          <t>EM.5</t>
        </is>
      </c>
      <c r="B7" s="58" t="inlineStr">
        <is>
          <t>Se ha evitado el uso de animaciones cíclicas</t>
        </is>
      </c>
      <c r="C7" s="51" t="n">
        <v>10</v>
      </c>
      <c r="D7" s="52">
        <f>IF(OR(TipoDeSitio="",C7="NA"),"",VLOOKUP(CONCATENATE(A7,": ",B7),Tabla628,MATCH(TipoDeSitio,Tipos,0)+1,0))</f>
        <v/>
      </c>
      <c r="E7" s="44" t="inlineStr">
        <is>
          <t>No se usan animaciones GIF ni CSS en bucle.</t>
        </is>
      </c>
      <c r="F7" s="22">
        <f>IF(C7="","",VLOOKUP(C7,ValoresVC,2,0))</f>
        <v/>
      </c>
      <c r="G7" s="37">
        <f>IF(D7="","",VLOOKUP($D7,ValoresRC,2,0))</f>
        <v/>
      </c>
      <c r="H7" s="102">
        <f>IF(OR(G7="",G7=0,'Cálculo de % usabilidad'!$F$5=0),"",G7/'Cálculo de % usabilidad'!$F$5)</f>
        <v/>
      </c>
      <c r="I7" s="102">
        <f>IF(OR(H7="",F7=""),"",H7*F7)</f>
        <v/>
      </c>
      <c r="J7" s="103">
        <f>IF(H7="","",H7*10)</f>
        <v/>
      </c>
      <c r="K7" s="11" t="n"/>
    </row>
    <row r="8" ht="15" customHeight="1" s="3" thickBot="1">
      <c r="A8" s="59" t="inlineStr">
        <is>
          <t>EM.6</t>
        </is>
      </c>
      <c r="B8" s="58" t="inlineStr">
        <is>
          <t>El uso de sonido proporciona algún tipo de valor añadido</t>
        </is>
      </c>
      <c r="C8" s="51" t="inlineStr">
        <is>
          <t>NA</t>
        </is>
      </c>
      <c r="D8" s="52">
        <f>IF(OR(TipoDeSitio="",C8="NA"),"",VLOOKUP(CONCATENATE(A8,": ",B8),Tabla628,MATCH(TipoDeSitio,Tipos,0)+1,0))</f>
        <v/>
      </c>
      <c r="E8" s="44" t="inlineStr">
        <is>
          <t>El prototipo no incluye audio.</t>
        </is>
      </c>
      <c r="F8" s="22">
        <f>IF(C8="","",VLOOKUP(C8,ValoresVC,2,0))</f>
        <v/>
      </c>
      <c r="G8" s="37">
        <f>IF(D8="","",VLOOKUP($D8,ValoresRC,2,0))</f>
        <v/>
      </c>
      <c r="H8" s="102">
        <f>IF(OR(G8="",G8=0,'Cálculo de % usabilidad'!$F$5=0),"",G8/'Cálculo de % usabilidad'!$F$5)</f>
        <v/>
      </c>
      <c r="I8" s="102">
        <f>IF(OR(H8="",F8=""),"",H8*F8)</f>
        <v/>
      </c>
      <c r="J8" s="103">
        <f>IF(H8="","",H8*10)</f>
        <v/>
      </c>
      <c r="K8" t="inlineStr">
        <is>
          <t>Núm.elementos evaluados</t>
        </is>
      </c>
      <c r="L8" s="12">
        <f>6-(COUNTIF(C3:C8,"NA")+COUNTBLANK(C3:C8))</f>
        <v/>
      </c>
      <c r="M8" t="inlineStr">
        <is>
          <t xml:space="preserve"> (no contabiliza ni los vacíos ni los NA)</t>
        </is>
      </c>
    </row>
    <row r="9" ht="15" customHeight="1" s="3" thickBot="1">
      <c r="G9" s="50">
        <f>IF(SUM(G3:G8)=0,"",SUM(G3:G8))</f>
        <v/>
      </c>
      <c r="H9" s="16" t="n"/>
      <c r="I9" s="16" t="n"/>
      <c r="J9" s="16" t="n"/>
    </row>
    <row r="10">
      <c r="A10" s="1" t="inlineStr">
        <is>
          <t>Instrucciones</t>
        </is>
      </c>
      <c r="C10" s="8" t="inlineStr">
        <is>
          <t>Leyenda Valor</t>
        </is>
      </c>
      <c r="D10" s="9" t="n"/>
      <c r="E10" s="9" t="n"/>
      <c r="F10" s="9" t="n"/>
      <c r="G10" s="9" t="n"/>
      <c r="H10" s="9" t="n"/>
      <c r="I10" s="9" t="n"/>
      <c r="J10" s="9" t="n"/>
    </row>
    <row r="11">
      <c r="A11" t="inlineStr">
        <is>
          <t>1. Evalue cada criterio y rellene la columna "Valor" según la leyenda</t>
        </is>
      </c>
      <c r="C11" s="10" t="n">
        <v>0</v>
      </c>
      <c r="D11" s="9" t="inlineStr">
        <is>
          <t>No se cumple en absoluto</t>
        </is>
      </c>
      <c r="E11" s="9" t="n"/>
      <c r="F11" s="10" t="inlineStr">
        <is>
          <t>NEP</t>
        </is>
      </c>
      <c r="G11" s="9" t="inlineStr">
        <is>
          <t>No se cumple en los enlaces principales</t>
        </is>
      </c>
      <c r="H11" s="9" t="n"/>
      <c r="I11" s="9" t="n"/>
      <c r="J11" s="9" t="n"/>
    </row>
    <row r="12">
      <c r="A12" t="inlineStr">
        <is>
          <t>2. Añada sus comentarios o la referencia a los mismos en otro documento anexo en la columna "Comentarios"</t>
        </is>
      </c>
      <c r="C12" s="10" t="n">
        <v>10</v>
      </c>
      <c r="D12" s="9" t="inlineStr">
        <is>
          <t>Se cumple totalmente</t>
        </is>
      </c>
      <c r="E12" s="9" t="n"/>
      <c r="F12" s="10" t="inlineStr">
        <is>
          <t xml:space="preserve">NPP </t>
        </is>
      </c>
      <c r="G12" s="9" t="inlineStr">
        <is>
          <t>No se cumple en la página principal</t>
        </is>
      </c>
      <c r="H12" s="9" t="n"/>
      <c r="I12" s="9" t="n"/>
      <c r="J12" s="9" t="n"/>
    </row>
    <row r="13">
      <c r="C13" s="10" t="inlineStr">
        <is>
          <t>NA</t>
        </is>
      </c>
      <c r="D13" s="9" t="inlineStr">
        <is>
          <t>Criterio no aplicable en el sitio</t>
        </is>
      </c>
      <c r="E13" s="9" t="n"/>
      <c r="F13" s="10" t="inlineStr">
        <is>
          <t>NPI</t>
        </is>
      </c>
      <c r="G13" s="9" t="inlineStr">
        <is>
          <t>No se cumple en alguna página interior</t>
        </is>
      </c>
      <c r="H13" s="9" t="n"/>
      <c r="I13" s="9" t="n"/>
      <c r="J13" s="9" t="n"/>
    </row>
    <row r="14">
      <c r="C14" s="10" t="inlineStr">
        <is>
          <t xml:space="preserve">NTS </t>
        </is>
      </c>
      <c r="D14" s="9" t="inlineStr">
        <is>
          <t>No se cumple en todo el sitio</t>
        </is>
      </c>
      <c r="E14" s="9" t="n"/>
      <c r="F14" s="10" t="inlineStr">
        <is>
          <t xml:space="preserve">S </t>
        </is>
      </c>
      <c r="G14" s="9" t="inlineStr">
        <is>
          <t>Se cumple el criterio</t>
        </is>
      </c>
      <c r="H14" s="9" t="n"/>
      <c r="I14" s="9" t="n"/>
      <c r="J14" s="9" t="n"/>
    </row>
    <row r="15"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C16" s="11" t="n"/>
      <c r="D16" s="11" t="n"/>
      <c r="E16" s="11" t="n"/>
    </row>
    <row r="17" customFormat="1" s="11">
      <c r="A17" s="7" t="n"/>
    </row>
    <row r="18" customFormat="1" s="11"/>
    <row r="19" customFormat="1" s="11">
      <c r="A19" s="11" t="n"/>
      <c r="B19" s="11" t="n"/>
      <c r="C19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dataValidations count="1">
    <dataValidation sqref="C3:C8" showDropDown="0" showInputMessage="1" showErrorMessage="1" allowBlank="1" type="list">
      <formula1>Valores2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Hoja10">
    <outlinePr summaryBelow="1" summaryRight="1"/>
    <pageSetUpPr/>
  </sheetPr>
  <dimension ref="A1:M21"/>
  <sheetViews>
    <sheetView showGridLines="0" workbookViewId="0">
      <selection activeCell="D4" sqref="D4"/>
    </sheetView>
  </sheetViews>
  <sheetFormatPr baseColWidth="10" defaultRowHeight="14.4"/>
  <cols>
    <col width="11.5546875" customWidth="1" style="93" min="1" max="1"/>
    <col width="89.5546875" customWidth="1" style="93" min="2" max="2"/>
    <col width="11.5546875" customWidth="1" style="93" min="3" max="3"/>
    <col width="14.6640625" customWidth="1" style="93" min="4" max="4"/>
    <col width="22" customWidth="1" style="93" min="5" max="5"/>
    <col width="16.88671875" customWidth="1" style="93" min="6" max="6"/>
    <col width="29.109375" customWidth="1" style="93" min="7" max="7"/>
    <col width="23.6640625" customWidth="1" style="93" min="8" max="10"/>
    <col width="25.33203125" customWidth="1" style="93" min="11" max="11"/>
    <col width="4.6640625" customWidth="1" style="93" min="12" max="12"/>
    <col width="11.5546875" customWidth="1" style="93" min="13" max="16384"/>
  </cols>
  <sheetData>
    <row r="1" ht="36.75" customHeight="1" s="3">
      <c r="A1" s="76" t="inlineStr">
        <is>
          <t>CRITERIOS DEL "BÚSQUEDA": Elementos relacionados con el buscador implementado en el sitio web.</t>
        </is>
      </c>
    </row>
    <row r="2">
      <c r="A2" s="78" t="inlineStr">
        <is>
          <t>Código</t>
        </is>
      </c>
      <c r="B2" s="78" t="inlineStr">
        <is>
          <t>Criterio</t>
        </is>
      </c>
      <c r="C2" s="79" t="inlineStr">
        <is>
          <t>Valor</t>
        </is>
      </c>
      <c r="D2" s="79" t="inlineStr">
        <is>
          <t>Relevancia</t>
        </is>
      </c>
      <c r="E2" s="78" t="inlineStr">
        <is>
          <t>Comentarios</t>
        </is>
      </c>
      <c r="F2" s="78" t="inlineStr">
        <is>
          <t>Valor interno(vc)</t>
        </is>
      </c>
      <c r="G2" s="78" t="inlineStr">
        <is>
          <t>Valor interno de relevancia (rc)</t>
        </is>
      </c>
      <c r="H2" s="78" t="inlineStr">
        <is>
          <t>Factor de corrección (fc)</t>
        </is>
      </c>
      <c r="I2" s="78" t="inlineStr">
        <is>
          <t>Valor parcial</t>
        </is>
      </c>
      <c r="J2" s="78" t="inlineStr">
        <is>
          <t>Valor parcial 2</t>
        </is>
      </c>
      <c r="K2" s="80" t="n"/>
    </row>
    <row r="3">
      <c r="A3" s="81" t="inlineStr">
        <is>
          <t>BU.1</t>
        </is>
      </c>
      <c r="B3" s="91" t="inlineStr">
        <is>
          <t>La búsqueda, si  es necesaria, se encuentra accesible desde todas las páginas del sitio</t>
        </is>
      </c>
      <c r="C3" s="83" t="inlineStr">
        <is>
          <t>NA</t>
        </is>
      </c>
      <c r="D3" s="84">
        <f>IF(OR(TipoDeSitio="",C3="NA"),"",VLOOKUP(CONCATENATE(A3,": ",B3),Tabla629,MATCH(TipoDeSitio,Tipos,0)+1,0))</f>
        <v/>
      </c>
      <c r="E3" s="85" t="inlineStr">
        <is>
          <t>No se implementa buscador global; la localización de reservas es un flujo específico.</t>
        </is>
      </c>
      <c r="F3" s="86">
        <f>IF(C3="","",VLOOKUP(C3,ValoresVC,2,0))</f>
        <v/>
      </c>
      <c r="G3" s="87">
        <f>IF(D3="","",VLOOKUP($D3,ValoresRC,2,0))</f>
        <v/>
      </c>
      <c r="H3" s="104">
        <f>IF(OR(G3="",G3=0,'Cálculo de % usabilidad'!$F$5=0),"",G3/'Cálculo de % usabilidad'!$F$5)</f>
        <v/>
      </c>
      <c r="I3" s="104">
        <f>IF(OR(H3="",F3=""),"",H3*F3)</f>
        <v/>
      </c>
      <c r="J3" s="105">
        <f>IF(H3="","",H3*10)</f>
        <v/>
      </c>
      <c r="K3" s="80" t="n"/>
    </row>
    <row r="4">
      <c r="A4" s="81" t="inlineStr">
        <is>
          <t>BU.2</t>
        </is>
      </c>
      <c r="B4" s="81" t="inlineStr">
        <is>
          <t>Es fácilmente reconocible como tal</t>
        </is>
      </c>
      <c r="C4" s="90" t="inlineStr">
        <is>
          <t>NA</t>
        </is>
      </c>
      <c r="D4" s="84">
        <f>IF(OR(TipoDeSitio="",C4="NA"),"",VLOOKUP(CONCATENATE(A4,": ",B4),Tabla629,MATCH(TipoDeSitio,Tipos,0)+1,0))</f>
        <v/>
      </c>
      <c r="E4" s="85" t="inlineStr">
        <is>
          <t>No aplica.</t>
        </is>
      </c>
      <c r="F4" s="86">
        <f>IF(C4="","",VLOOKUP(C4,ValoresVC,2,0))</f>
        <v/>
      </c>
      <c r="G4" s="87">
        <f>IF(D4="","",VLOOKUP($D4,ValoresRC,2,0))</f>
        <v/>
      </c>
      <c r="H4" s="104">
        <f>IF(OR(G4="",G4=0,'Cálculo de % usabilidad'!$F$5=0),"",G4/'Cálculo de % usabilidad'!$F$5)</f>
        <v/>
      </c>
      <c r="I4" s="104">
        <f>IF(OR(H4="",F4=""),"",H4*F4)</f>
        <v/>
      </c>
      <c r="J4" s="105">
        <f>IF(H4="","",H4*10)</f>
        <v/>
      </c>
      <c r="K4" s="80" t="n"/>
    </row>
    <row r="5">
      <c r="A5" s="81" t="inlineStr">
        <is>
          <t>BU.3</t>
        </is>
      </c>
      <c r="B5" s="81" t="inlineStr">
        <is>
          <t>Se encuentra fácilmente accesible</t>
        </is>
      </c>
      <c r="C5" s="90" t="inlineStr">
        <is>
          <t>NA</t>
        </is>
      </c>
      <c r="D5" s="84">
        <f>IF(OR(TipoDeSitio="",C5="NA"),"",VLOOKUP(CONCATENATE(A5,": ",B5),Tabla629,MATCH(TipoDeSitio,Tipos,0)+1,0))</f>
        <v/>
      </c>
      <c r="E5" s="85" t="inlineStr">
        <is>
          <t>No aplica.</t>
        </is>
      </c>
      <c r="F5" s="86">
        <f>IF(C5="","",VLOOKUP(C5,ValoresVC,2,0))</f>
        <v/>
      </c>
      <c r="G5" s="87">
        <f>IF(D5="","",VLOOKUP($D5,ValoresRC,2,0))</f>
        <v/>
      </c>
      <c r="H5" s="104">
        <f>IF(OR(G5="",G5=0,'Cálculo de % usabilidad'!$F$5=0),"",G5/'Cálculo de % usabilidad'!$F$5)</f>
        <v/>
      </c>
      <c r="I5" s="104">
        <f>IF(OR(H5="",F5=""),"",H5*F5)</f>
        <v/>
      </c>
      <c r="J5" s="105">
        <f>IF(H5="","",H5*10)</f>
        <v/>
      </c>
      <c r="K5" s="80" t="n"/>
    </row>
    <row r="6">
      <c r="A6" s="81" t="inlineStr">
        <is>
          <t>BU.4</t>
        </is>
      </c>
      <c r="B6" s="91" t="inlineStr">
        <is>
          <t>La caja de texto es lo suficientemente ancha</t>
        </is>
      </c>
      <c r="C6" s="90" t="inlineStr">
        <is>
          <t>NA</t>
        </is>
      </c>
      <c r="D6" s="84">
        <f>IF(OR(TipoDeSitio="",C6="NA"),"",VLOOKUP(CONCATENATE(A6,": ",B6),Tabla629,MATCH(TipoDeSitio,Tipos,0)+1,0))</f>
        <v/>
      </c>
      <c r="E6" s="85" t="inlineStr">
        <is>
          <t>No aplica.</t>
        </is>
      </c>
      <c r="F6" s="86">
        <f>IF(C6="","",VLOOKUP(C6,ValoresVC,2,0))</f>
        <v/>
      </c>
      <c r="G6" s="87">
        <f>IF(D6="","",VLOOKUP($D6,ValoresRC,2,0))</f>
        <v/>
      </c>
      <c r="H6" s="104">
        <f>IF(OR(G6="",G6=0,'Cálculo de % usabilidad'!$F$5=0),"",G6/'Cálculo de % usabilidad'!$F$5)</f>
        <v/>
      </c>
      <c r="I6" s="104">
        <f>IF(OR(H6="",F6=""),"",H6*F6)</f>
        <v/>
      </c>
      <c r="J6" s="105">
        <f>IF(H6="","",H6*10)</f>
        <v/>
      </c>
      <c r="K6" s="80" t="n"/>
    </row>
    <row r="7">
      <c r="A7" s="81" t="inlineStr">
        <is>
          <t>BU.5</t>
        </is>
      </c>
      <c r="B7" s="91" t="inlineStr">
        <is>
          <t>Sistema de búsqueda simple y claro</t>
        </is>
      </c>
      <c r="C7" s="90" t="inlineStr">
        <is>
          <t>NA</t>
        </is>
      </c>
      <c r="D7" s="84">
        <f>IF(OR(TipoDeSitio="",C7="NA"),"",VLOOKUP(CONCATENATE(A7,": ",B7),Tabla629,MATCH(TipoDeSitio,Tipos,0)+1,0))</f>
        <v/>
      </c>
      <c r="E7" s="85" t="inlineStr">
        <is>
          <t>No aplica.</t>
        </is>
      </c>
      <c r="F7" s="86">
        <f>IF(C7="","",VLOOKUP(C7,ValoresVC,2,0))</f>
        <v/>
      </c>
      <c r="G7" s="87">
        <f>IF(D7="","",VLOOKUP($D7,ValoresRC,2,0))</f>
        <v/>
      </c>
      <c r="H7" s="104">
        <f>IF(OR(G7="",G7=0,'Cálculo de % usabilidad'!$F$5=0),"",G7/'Cálculo de % usabilidad'!$F$5)</f>
        <v/>
      </c>
      <c r="I7" s="104">
        <f>IF(OR(H7="",F7=""),"",H7*F7)</f>
        <v/>
      </c>
      <c r="J7" s="105">
        <f>IF(H7="","",H7*10)</f>
        <v/>
      </c>
      <c r="K7" s="80" t="n"/>
    </row>
    <row r="8">
      <c r="A8" s="81" t="inlineStr">
        <is>
          <t>BU.6</t>
        </is>
      </c>
      <c r="B8" s="91" t="inlineStr">
        <is>
          <t>Permite la búsqueda avanzada</t>
        </is>
      </c>
      <c r="C8" s="90" t="inlineStr">
        <is>
          <t>NA</t>
        </is>
      </c>
      <c r="D8" s="84">
        <f>IF(OR(TipoDeSitio="",C8="NA"),"",VLOOKUP(CONCATENATE(A8,": ",B8),Tabla629,MATCH(TipoDeSitio,Tipos,0)+1,0))</f>
        <v/>
      </c>
      <c r="E8" s="85" t="inlineStr">
        <is>
          <t>No aplica.</t>
        </is>
      </c>
      <c r="F8" s="86">
        <f>IF(C8="","",VLOOKUP(C8,ValoresVC,2,0))</f>
        <v/>
      </c>
      <c r="G8" s="87">
        <f>IF(D8="","",VLOOKUP($D8,ValoresRC,2,0))</f>
        <v/>
      </c>
      <c r="H8" s="104">
        <f>IF(OR(G8="",G8=0,'Cálculo de % usabilidad'!$F$5=0),"",G8/'Cálculo de % usabilidad'!$F$5)</f>
        <v/>
      </c>
      <c r="I8" s="104">
        <f>IF(OR(H8="",F8=""),"",H8*F8)</f>
        <v/>
      </c>
      <c r="J8" s="105">
        <f>IF(H8="","",H8*10)</f>
        <v/>
      </c>
      <c r="K8" s="80" t="n"/>
    </row>
    <row r="9">
      <c r="A9" s="81" t="inlineStr">
        <is>
          <t>BU.7</t>
        </is>
      </c>
      <c r="B9" s="91" t="inlineStr">
        <is>
          <t>Muestra los resultados de la búsqueda de forma comprensible para el usuario</t>
        </is>
      </c>
      <c r="C9" s="90" t="inlineStr">
        <is>
          <t>NA</t>
        </is>
      </c>
      <c r="D9" s="84">
        <f>IF(OR(TipoDeSitio="",C9="NA"),"",VLOOKUP(CONCATENATE(A9,": ",B9),Tabla629,MATCH(TipoDeSitio,Tipos,0)+1,0))</f>
        <v/>
      </c>
      <c r="E9" s="85" t="inlineStr">
        <is>
          <t>No aplica.</t>
        </is>
      </c>
      <c r="F9" s="86">
        <f>IF(C9="","",VLOOKUP(C9,ValoresVC,2,0))</f>
        <v/>
      </c>
      <c r="G9" s="87">
        <f>IF(D9="","",VLOOKUP($D9,ValoresRC,2,0))</f>
        <v/>
      </c>
      <c r="H9" s="104">
        <f>IF(OR(G9="",G9=0,'Cálculo de % usabilidad'!$F$5=0),"",G9/'Cálculo de % usabilidad'!$F$5)</f>
        <v/>
      </c>
      <c r="I9" s="104">
        <f>IF(OR(H9="",F9=""),"",H9*F9)</f>
        <v/>
      </c>
      <c r="J9" s="105">
        <f>IF(H9="","",H9*10)</f>
        <v/>
      </c>
      <c r="K9" s="80" t="n"/>
    </row>
    <row r="10" ht="15" customHeight="1" s="3" thickBot="1">
      <c r="A10" s="81" t="inlineStr">
        <is>
          <t>BU.8</t>
        </is>
      </c>
      <c r="B10" s="91" t="inlineStr">
        <is>
          <t>Asiste al usuario en caso de no poder ofrecer resultados para una consulta dada</t>
        </is>
      </c>
      <c r="C10" s="90" t="inlineStr">
        <is>
          <t>NA</t>
        </is>
      </c>
      <c r="D10" s="84">
        <f>IF(OR(TipoDeSitio="",C10="NA"),"",VLOOKUP(CONCATENATE(A10,": ",B10),Tabla629,MATCH(TipoDeSitio,Tipos,0)+1,0))</f>
        <v/>
      </c>
      <c r="E10" s="85" t="inlineStr">
        <is>
          <t>No aplica.</t>
        </is>
      </c>
      <c r="F10" s="86">
        <f>IF(C10="","",VLOOKUP(C10,ValoresVC,2,0))</f>
        <v/>
      </c>
      <c r="G10" s="87">
        <f>IF(D10="","",VLOOKUP($D10,ValoresRC,2,0))</f>
        <v/>
      </c>
      <c r="H10" s="104">
        <f>IF(OR(G10="",G10=0,'Cálculo de % usabilidad'!$F$5=0),"",G10/'Cálculo de % usabilidad'!$F$5)</f>
        <v/>
      </c>
      <c r="I10" s="104">
        <f>IF(OR(H10="",F10=""),"",H10*F10)</f>
        <v/>
      </c>
      <c r="J10" s="105">
        <f>IF(H10="","",H10*10)</f>
        <v/>
      </c>
      <c r="K10" s="93" t="inlineStr">
        <is>
          <t>Núm.elementos evaluados</t>
        </is>
      </c>
      <c r="L10" s="92">
        <f>8-(COUNTIF(C3:C10,"NA")+COUNTBLANK(C3:C10))</f>
        <v/>
      </c>
      <c r="M10" s="93" t="inlineStr">
        <is>
          <t xml:space="preserve"> (no contabiliza ni los vacíos ni los NA)</t>
        </is>
      </c>
    </row>
    <row r="11" ht="15" customHeight="1" s="3" thickBot="1">
      <c r="G11" s="94">
        <f>IF(SUM(G3:G10)=0,"",SUM(G3:G10))</f>
        <v/>
      </c>
    </row>
    <row r="12">
      <c r="A12" s="95" t="inlineStr">
        <is>
          <t>Instrucciones</t>
        </is>
      </c>
      <c r="C12" s="96" t="inlineStr">
        <is>
          <t>Leyenda Valor</t>
        </is>
      </c>
      <c r="D12" s="97" t="n"/>
      <c r="E12" s="97" t="n"/>
      <c r="F12" s="97" t="n"/>
      <c r="G12" s="97" t="n"/>
      <c r="H12" s="97" t="n"/>
      <c r="I12" s="97" t="n"/>
      <c r="J12" s="97" t="n"/>
    </row>
    <row r="13">
      <c r="A13" s="93" t="inlineStr">
        <is>
          <t>1. Evalue cada criterio y rellene la columna "Valor" según la leyenda</t>
        </is>
      </c>
      <c r="C13" s="98" t="n">
        <v>0</v>
      </c>
      <c r="D13" s="97" t="inlineStr">
        <is>
          <t>No se cumple en absoluto</t>
        </is>
      </c>
      <c r="E13" s="97" t="n"/>
      <c r="F13" s="98" t="inlineStr">
        <is>
          <t>NEP</t>
        </is>
      </c>
      <c r="G13" s="97" t="inlineStr">
        <is>
          <t>No se cumple en los enlaces principales</t>
        </is>
      </c>
      <c r="H13" s="97" t="n"/>
      <c r="I13" s="97" t="n"/>
      <c r="J13" s="97" t="n"/>
    </row>
    <row r="14">
      <c r="A14" s="93" t="inlineStr">
        <is>
          <t>2. Añada sus comentarios o la referencia a los mismos en otro documento anexo en la columna "Comentarios"</t>
        </is>
      </c>
      <c r="C14" s="98" t="n">
        <v>10</v>
      </c>
      <c r="D14" s="97" t="inlineStr">
        <is>
          <t>Se cumple totalmente</t>
        </is>
      </c>
      <c r="E14" s="97" t="n"/>
      <c r="F14" s="98" t="inlineStr">
        <is>
          <t xml:space="preserve">NPP </t>
        </is>
      </c>
      <c r="G14" s="97" t="inlineStr">
        <is>
          <t>No se cumple en la página principal</t>
        </is>
      </c>
      <c r="H14" s="97" t="n"/>
      <c r="I14" s="97" t="n"/>
      <c r="J14" s="97" t="n"/>
    </row>
    <row r="15">
      <c r="C15" s="98" t="inlineStr">
        <is>
          <t>NA</t>
        </is>
      </c>
      <c r="D15" s="97" t="inlineStr">
        <is>
          <t>Criterio no aplicable en el sitio</t>
        </is>
      </c>
      <c r="E15" s="97" t="n"/>
      <c r="F15" s="98" t="inlineStr">
        <is>
          <t>NPI</t>
        </is>
      </c>
      <c r="G15" s="97" t="inlineStr">
        <is>
          <t>No se cumple en alguna página interior</t>
        </is>
      </c>
      <c r="H15" s="97" t="n"/>
      <c r="I15" s="97" t="n"/>
      <c r="J15" s="97" t="n"/>
    </row>
    <row r="16">
      <c r="C16" s="98" t="inlineStr">
        <is>
          <t xml:space="preserve">NTS </t>
        </is>
      </c>
      <c r="D16" s="97" t="inlineStr">
        <is>
          <t>No se cumple en todo el sitio</t>
        </is>
      </c>
      <c r="E16" s="97" t="n"/>
      <c r="F16" s="98" t="inlineStr">
        <is>
          <t xml:space="preserve">S </t>
        </is>
      </c>
      <c r="G16" s="97" t="inlineStr">
        <is>
          <t>Se cumple el criterio</t>
        </is>
      </c>
      <c r="H16" s="97" t="n"/>
      <c r="I16" s="97" t="n"/>
      <c r="J16" s="97" t="n"/>
    </row>
    <row r="17">
      <c r="C17" s="97" t="n"/>
      <c r="D17" s="97" t="n"/>
      <c r="E17" s="97" t="n"/>
      <c r="F17" s="97" t="n"/>
      <c r="G17" s="97" t="n"/>
      <c r="H17" s="97" t="n"/>
      <c r="I17" s="97" t="n"/>
      <c r="J17" s="97" t="n"/>
    </row>
    <row r="18">
      <c r="C18" s="80" t="n"/>
      <c r="D18" s="80" t="n"/>
      <c r="E18" s="80" t="n"/>
    </row>
    <row r="19">
      <c r="A19" s="99" t="n"/>
      <c r="B19" s="80" t="n"/>
      <c r="C19" s="80" t="n"/>
      <c r="D19" s="80" t="n"/>
    </row>
    <row r="20">
      <c r="A20" s="80" t="n"/>
      <c r="B20" s="80" t="n"/>
      <c r="C20" s="80" t="n"/>
      <c r="D20" s="80" t="n"/>
    </row>
    <row r="21">
      <c r="A21" s="93" t="n"/>
      <c r="B21" s="93" t="n"/>
      <c r="C21" s="9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RgDwm3duoP2sFWwrTtlyA==" formatRows="1" sort="1" spinCount="100000" hashValue="+hFlA4LAcq5Yil1KroWUZRgj3hoszHfo0yo8FZhxfgu/qm+oRBtho0Dn1Sq5dZaseUHTKJUUfh4uXPN8fisf6A=="/>
  <mergeCells count="1">
    <mergeCell ref="A1:G1"/>
  </mergeCells>
  <dataValidations count="2">
    <dataValidation sqref="C3" showDropDown="0" showInputMessage="1" showErrorMessage="1" allowBlank="1" type="list">
      <formula1>Valores2</formula1>
    </dataValidation>
    <dataValidation sqref="C4:C10" showDropDown="0" showInputMessage="1" showErrorMessage="1" allowBlank="1" type="list">
      <formula1>Valores1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 codeName="Hoja11">
    <outlinePr summaryBelow="1" summaryRight="1"/>
    <pageSetUpPr/>
  </sheetPr>
  <dimension ref="A1:M18"/>
  <sheetViews>
    <sheetView showGridLines="0" workbookViewId="0">
      <selection activeCell="C1" sqref="C1"/>
    </sheetView>
  </sheetViews>
  <sheetFormatPr baseColWidth="10" defaultRowHeight="14.4"/>
  <cols>
    <col width="11.44140625" customWidth="1" style="3" min="1" max="1"/>
    <col width="88.33203125" customWidth="1" style="3" min="2" max="2"/>
    <col width="15" customWidth="1" style="3" min="4" max="4"/>
    <col width="37.33203125" customWidth="1" style="3" min="5" max="5"/>
    <col width="16.88671875" customWidth="1" style="3" min="6" max="6"/>
    <col width="28.6640625" customWidth="1" style="3" min="7" max="7"/>
    <col width="25.109375" customWidth="1" style="3" min="8" max="10"/>
    <col width="25" customWidth="1" style="3" min="11" max="11"/>
    <col width="6.33203125" customWidth="1" style="3" min="12" max="12"/>
  </cols>
  <sheetData>
    <row r="1" ht="36.75" customHeight="1" s="3">
      <c r="A1" s="4" t="inlineStr">
        <is>
          <t>CRITERIOS DEL "AYUDA": Elementos relacionados con la ayuda ofrecida al usuario durante la navegación por el sitio.</t>
        </is>
      </c>
    </row>
    <row r="2">
      <c r="A2" s="43" t="inlineStr">
        <is>
          <t>Código</t>
        </is>
      </c>
      <c r="B2" s="43" t="inlineStr">
        <is>
          <t>Criterio</t>
        </is>
      </c>
      <c r="C2" s="53" t="inlineStr">
        <is>
          <t>Valor</t>
        </is>
      </c>
      <c r="D2" s="53" t="inlineStr">
        <is>
          <t xml:space="preserve">Relevancia </t>
        </is>
      </c>
      <c r="E2" s="43" t="inlineStr">
        <is>
          <t>Comentarios</t>
        </is>
      </c>
      <c r="F2" s="43" t="inlineStr">
        <is>
          <t>Valor interno(vc)</t>
        </is>
      </c>
      <c r="G2" s="43" t="inlineStr">
        <is>
          <t>Valor interno de relevancia (rc)</t>
        </is>
      </c>
      <c r="H2" s="43" t="inlineStr">
        <is>
          <t>Factor de corrección (fc)</t>
        </is>
      </c>
      <c r="I2" s="43" t="inlineStr">
        <is>
          <t>Valor parcial</t>
        </is>
      </c>
      <c r="J2" s="43" t="inlineStr">
        <is>
          <t>Valor parcial 2</t>
        </is>
      </c>
      <c r="K2" s="11" t="n"/>
    </row>
    <row r="3">
      <c r="A3" s="32" t="inlineStr">
        <is>
          <t>AY.1</t>
        </is>
      </c>
      <c r="B3" s="58" t="inlineStr">
        <is>
          <t>El enlace a la sección de Ayuda está colocado en una zona visible y estándar</t>
        </is>
      </c>
      <c r="C3" s="51" t="n">
        <v>0</v>
      </c>
      <c r="D3" s="52">
        <f>IF(OR(TipoDeSitio="",C3="NA"),"",VLOOKUP(CONCATENATE(A3,": ",B3),Tabla630,MATCH(TipoDeSitio,Tipos,0)+1,0))</f>
        <v/>
      </c>
      <c r="E3" s="46" t="inlineStr">
        <is>
          <t>No existe página ni enlace de Ayuda en el sitio.</t>
        </is>
      </c>
      <c r="F3" s="33">
        <f>IF(C3="","",VLOOKUP(C3,ValoresVC,2,0))</f>
        <v/>
      </c>
      <c r="G3" s="38">
        <f>IF(D3="","",VLOOKUP($D3,ValoresRC,2,0))</f>
        <v/>
      </c>
      <c r="H3" s="106">
        <f>IF(OR(G3="",G3=0,'Cálculo de % usabilidad'!$F$5=0),"",G3/'Cálculo de % usabilidad'!$F$5)</f>
        <v/>
      </c>
      <c r="I3" s="106">
        <f>IF(OR(H3="",F3=""),"",H3*F3)</f>
        <v/>
      </c>
      <c r="J3" s="107">
        <f>IF(H3="","",H3*10)</f>
        <v/>
      </c>
      <c r="K3" s="11" t="n"/>
    </row>
    <row r="4">
      <c r="A4" s="32" t="inlineStr">
        <is>
          <t>AY.2</t>
        </is>
      </c>
      <c r="B4" s="59" t="inlineStr">
        <is>
          <t>Fácil acceso y retorno al/del sistema de ayuda</t>
        </is>
      </c>
      <c r="C4" s="57" t="n">
        <v>0</v>
      </c>
      <c r="D4" s="52">
        <f>IF(OR(TipoDeSitio="",C4="NA"),"",VLOOKUP(CONCATENATE(A4,": ",B4),Tabla630,MATCH(TipoDeSitio,Tipos,0)+1,0))</f>
        <v/>
      </c>
      <c r="E4" s="46" t="inlineStr">
        <is>
          <t>No existe sistema de ayuda al que acceder o del que volver.</t>
        </is>
      </c>
      <c r="F4" s="33">
        <f>IF(C4="","",VLOOKUP(C4,ValoresVC,2,0))</f>
        <v/>
      </c>
      <c r="G4" s="38">
        <f>IF(D4="","",VLOOKUP($D4,ValoresRC,2,0))</f>
        <v/>
      </c>
      <c r="H4" s="106">
        <f>IF(OR(G4="",G4=0,'Cálculo de % usabilidad'!$F$5=0),"",G4/'Cálculo de % usabilidad'!$F$5)</f>
        <v/>
      </c>
      <c r="I4" s="106">
        <f>IF(OR(H4="",F4=""),"",H4*F4)</f>
        <v/>
      </c>
      <c r="J4" s="107">
        <f>IF(H4="","",H4*10)</f>
        <v/>
      </c>
      <c r="K4" s="11" t="n"/>
    </row>
    <row r="5">
      <c r="A5" s="32" t="inlineStr">
        <is>
          <t>AY.3</t>
        </is>
      </c>
      <c r="B5" s="59" t="inlineStr">
        <is>
          <t>Se ofrece ayuda contextual en tareas complejas</t>
        </is>
      </c>
      <c r="C5" s="51" t="n">
        <v>7</v>
      </c>
      <c r="D5" s="52">
        <f>IF(OR(TipoDeSitio="",C5="NA"),"",VLOOKUP(CONCATENATE(A5,": ",B5),Tabla630,MATCH(TipoDeSitio,Tipos,0)+1,0))</f>
        <v/>
      </c>
      <c r="E5" s="46" t="inlineStr">
        <is>
          <t>Los campos del formulario incluyen textos de ayuda (form-text Bootstrap) como "Selecciona un destino disponible de Tenerife" e indicaciones de hora y fecha.</t>
        </is>
      </c>
      <c r="F5" s="33">
        <f>IF(C5="","",VLOOKUP(C5,ValoresVC,2,0))</f>
        <v/>
      </c>
      <c r="G5" s="38">
        <f>IF(D5="","",VLOOKUP($D5,ValoresRC,2,0))</f>
        <v/>
      </c>
      <c r="H5" s="106">
        <f>IF(OR(G5="",G5=0,'Cálculo de % usabilidad'!$F$5=0),"",G5/'Cálculo de % usabilidad'!$F$5)</f>
        <v/>
      </c>
      <c r="I5" s="106">
        <f>IF(OR(H5="",F5=""),"",H5*F5)</f>
        <v/>
      </c>
      <c r="J5" s="107">
        <f>IF(H5="","",H5*10)</f>
        <v/>
      </c>
      <c r="K5" s="11" t="n"/>
    </row>
    <row r="6">
      <c r="A6" s="32" t="inlineStr">
        <is>
          <t>AY.4</t>
        </is>
      </c>
      <c r="B6" s="58" t="inlineStr">
        <is>
          <t>FAQs (si las hay) correcta la elección como la redacción de las preguntas</t>
        </is>
      </c>
      <c r="C6" s="57" t="inlineStr">
        <is>
          <t>NA</t>
        </is>
      </c>
      <c r="D6" s="52">
        <f>IF(OR(TipoDeSitio="",C6="NA"),"",VLOOKUP(CONCATENATE(A6,": ",B6),Tabla630,MATCH(TipoDeSitio,Tipos,0)+1,0))</f>
        <v/>
      </c>
      <c r="E6" s="46" t="inlineStr">
        <is>
          <t>No hay sección de preguntas frecuentes.</t>
        </is>
      </c>
      <c r="F6" s="33">
        <f>IF(C6="","",VLOOKUP(C6,ValoresVC,2,0))</f>
        <v/>
      </c>
      <c r="G6" s="38">
        <f>IF(D6="","",VLOOKUP($D6,ValoresRC,2,0))</f>
        <v/>
      </c>
      <c r="H6" s="106">
        <f>IF(OR(G6="",G6=0,'Cálculo de % usabilidad'!$F$5=0),"",G6/'Cálculo de % usabilidad'!$F$5)</f>
        <v/>
      </c>
      <c r="I6" s="106">
        <f>IF(OR(H6="",F6=""),"",H6*F6)</f>
        <v/>
      </c>
      <c r="J6" s="107">
        <f>IF(H6="","",H6*10)</f>
        <v/>
      </c>
      <c r="K6" s="11" t="n"/>
    </row>
    <row r="7" ht="15" customHeight="1" s="3" thickBot="1">
      <c r="A7" s="32" t="inlineStr">
        <is>
          <t>AY.5</t>
        </is>
      </c>
      <c r="B7" s="58" t="inlineStr">
        <is>
          <t>FAQs (si las hay) correcta la redacción de las respuestas</t>
        </is>
      </c>
      <c r="C7" s="57" t="inlineStr">
        <is>
          <t>NA</t>
        </is>
      </c>
      <c r="D7" s="52">
        <f>IF(OR(TipoDeSitio="",C7="NA"),"",VLOOKUP(CONCATENATE(A7,": ",B7),Tabla630,MATCH(TipoDeSitio,Tipos,0)+1,0))</f>
        <v/>
      </c>
      <c r="E7" s="46" t="inlineStr">
        <is>
          <t>No hay sección de preguntas frecuentes.</t>
        </is>
      </c>
      <c r="F7" s="33">
        <f>IF(C7="","",VLOOKUP(C7,ValoresVC,2,0))</f>
        <v/>
      </c>
      <c r="G7" s="38">
        <f>IF(D7="","",VLOOKUP($D7,ValoresRC,2,0))</f>
        <v/>
      </c>
      <c r="H7" s="106">
        <f>IF(OR(G7="",G7=0,'Cálculo de % usabilidad'!$F$5=0),"",G7/'Cálculo de % usabilidad'!$F$5)</f>
        <v/>
      </c>
      <c r="I7" s="106">
        <f>IF(OR(H7="",F7=""),"",H7*F7)</f>
        <v/>
      </c>
      <c r="J7" s="107">
        <f>IF(H7="","",H7*10)</f>
        <v/>
      </c>
      <c r="K7" t="inlineStr">
        <is>
          <t>Núm.elementos evaluados</t>
        </is>
      </c>
      <c r="L7" s="12">
        <f>5-(COUNTIF(C3:C7,"NA")+COUNTBLANK(C3:C7))</f>
        <v/>
      </c>
      <c r="M7" t="inlineStr">
        <is>
          <t xml:space="preserve"> (no contabiliza ni los vacíos ni los NA)</t>
        </is>
      </c>
    </row>
    <row r="8" ht="15" customHeight="1" s="3" thickBot="1">
      <c r="G8" s="50">
        <f>IF(SUM(G3:G7)=0,"",SUM(G3:G7))</f>
        <v/>
      </c>
      <c r="H8" s="16" t="n"/>
      <c r="I8" s="16" t="n"/>
      <c r="J8" s="16" t="n"/>
    </row>
    <row r="9">
      <c r="A9" s="1" t="inlineStr">
        <is>
          <t>Instrucciones</t>
        </is>
      </c>
      <c r="C9" s="8" t="inlineStr">
        <is>
          <t>Leyenda Valor</t>
        </is>
      </c>
      <c r="D9" s="9" t="n"/>
      <c r="E9" s="9" t="n"/>
      <c r="F9" s="9" t="n"/>
      <c r="G9" s="9" t="n"/>
      <c r="H9" s="9" t="n"/>
      <c r="I9" s="16" t="n"/>
      <c r="J9" s="16" t="n"/>
    </row>
    <row r="10">
      <c r="A10" t="inlineStr">
        <is>
          <t>1. Evalue cada criterio y rellene la columna "Valor" según la leyenda</t>
        </is>
      </c>
      <c r="C10" s="10" t="n">
        <v>0</v>
      </c>
      <c r="D10" s="9" t="inlineStr">
        <is>
          <t>No se cumple en absoluto</t>
        </is>
      </c>
      <c r="E10" s="9" t="n"/>
      <c r="F10" s="10" t="inlineStr">
        <is>
          <t>NEP</t>
        </is>
      </c>
      <c r="G10" s="9" t="inlineStr">
        <is>
          <t>No se cumple en los enlaces principales</t>
        </is>
      </c>
      <c r="H10" s="9" t="n"/>
      <c r="I10" s="16" t="n"/>
      <c r="J10" s="16" t="n"/>
    </row>
    <row r="11">
      <c r="A11" t="inlineStr">
        <is>
          <t>2. Añada sus comentarios o la referencia a los mismos en otro documento anexo en la columna "Comentarios"</t>
        </is>
      </c>
      <c r="C11" s="10" t="n">
        <v>10</v>
      </c>
      <c r="D11" s="9" t="inlineStr">
        <is>
          <t>Se cumple totalmente</t>
        </is>
      </c>
      <c r="E11" s="9" t="n"/>
      <c r="F11" s="10" t="inlineStr">
        <is>
          <t xml:space="preserve">NPP </t>
        </is>
      </c>
      <c r="G11" s="9" t="inlineStr">
        <is>
          <t>No se cumple en la página principal</t>
        </is>
      </c>
      <c r="H11" s="9" t="n"/>
      <c r="I11" s="11" t="n"/>
      <c r="J11" s="11" t="n"/>
    </row>
    <row r="12">
      <c r="C12" s="10" t="inlineStr">
        <is>
          <t>NA</t>
        </is>
      </c>
      <c r="D12" s="9" t="inlineStr">
        <is>
          <t>Criterio no aplicable en el sitio</t>
        </is>
      </c>
      <c r="E12" s="9" t="n"/>
      <c r="F12" s="10" t="inlineStr">
        <is>
          <t>NPI</t>
        </is>
      </c>
      <c r="G12" s="9" t="inlineStr">
        <is>
          <t>No se cumple en alguna página interior</t>
        </is>
      </c>
      <c r="H12" s="9" t="n"/>
      <c r="I12" s="11" t="n"/>
      <c r="J12" s="11" t="n"/>
    </row>
    <row r="13">
      <c r="C13" s="10" t="inlineStr">
        <is>
          <t xml:space="preserve">NTS </t>
        </is>
      </c>
      <c r="D13" s="9" t="inlineStr">
        <is>
          <t>No se cumple en todo el sitio</t>
        </is>
      </c>
      <c r="E13" s="9" t="n"/>
      <c r="F13" s="10" t="inlineStr">
        <is>
          <t xml:space="preserve">S </t>
        </is>
      </c>
      <c r="G13" s="9" t="inlineStr">
        <is>
          <t>Se cumple el criterio</t>
        </is>
      </c>
      <c r="H13" s="9" t="n"/>
      <c r="I13" s="11" t="n"/>
      <c r="J13" s="11" t="n"/>
    </row>
    <row r="14">
      <c r="C14" s="9" t="n"/>
      <c r="D14" s="9" t="n"/>
      <c r="E14" s="9" t="n"/>
      <c r="F14" s="9" t="n"/>
      <c r="G14" s="9" t="n"/>
      <c r="H14" s="9" t="n"/>
      <c r="I14" s="11" t="n"/>
      <c r="J14" s="11" t="n"/>
    </row>
    <row r="15">
      <c r="C15" s="11" t="n"/>
      <c r="D15" s="11" t="n"/>
      <c r="E15" s="11" t="n"/>
    </row>
    <row r="16">
      <c r="A16" s="7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dataValidations count="2">
    <dataValidation sqref="C4 C6:C7" showDropDown="0" showInputMessage="1" showErrorMessage="1" allowBlank="1" type="list">
      <formula1>Valores1</formula1>
    </dataValidation>
    <dataValidation sqref="C3 C5" showDropDown="0" showInputMessage="1" showErrorMessage="1" allowBlank="1" type="list">
      <formula1>Valores2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 codeName="Hoja13">
    <outlinePr summaryBelow="1" summaryRight="1"/>
    <pageSetUpPr/>
  </sheetPr>
  <dimension ref="A1:G29"/>
  <sheetViews>
    <sheetView showGridLines="0" workbookViewId="0">
      <selection activeCell="B4" sqref="B4"/>
    </sheetView>
  </sheetViews>
  <sheetFormatPr baseColWidth="10" defaultRowHeight="14.4"/>
  <cols>
    <col width="42.44140625" customWidth="1" style="3" min="1" max="1"/>
    <col width="14.44140625" customWidth="1" style="3" min="2" max="3"/>
    <col width="31.44140625" customWidth="1" style="3" min="4" max="4"/>
    <col width="15.6640625" customWidth="1" style="3" min="6" max="6"/>
  </cols>
  <sheetData>
    <row r="1">
      <c r="A1" s="11" t="n"/>
    </row>
    <row r="2" ht="23.4" customHeight="1" s="3">
      <c r="A2" s="13" t="inlineStr">
        <is>
          <t xml:space="preserve">CÁLCULO DEL PORCENTAJE DE USABILIDAD </t>
        </is>
      </c>
    </row>
    <row r="3" ht="24" customHeight="1" s="3" thickBot="1">
      <c r="A3" s="13" t="n"/>
      <c r="D3" s="15" t="inlineStr">
        <is>
          <t>Datos para el cálculo:</t>
        </is>
      </c>
    </row>
    <row r="4" ht="24" customHeight="1" s="3" thickBot="1">
      <c r="A4" s="25" t="inlineStr">
        <is>
          <t>Porcentaje de usabilidad*</t>
        </is>
      </c>
      <c r="B4" s="49">
        <f>IF(OR(ISERROR(F6),ISERROR(F7),F6="",F7="",F6=0,F7=0),"",(F6/F7)*100)</f>
        <v/>
      </c>
      <c r="C4" s="14" t="n"/>
      <c r="D4" s="75" t="inlineStr">
        <is>
          <t>Nº de criterios evaluados</t>
        </is>
      </c>
      <c r="E4" s="108" t="n"/>
      <c r="F4" s="47">
        <f>SUM('1, Aspectos generales'!L12,'2, Identidad e Información'!L9,'3, Estructura y navegación'!L16,'4, Rotulado'!L8,'5, Layout de la página'!L12,'6, Entendibilidad y Facilidad'!L9,'7, Control y Retoalimentación'!L12,'8, Elementos multimedia'!L8,'9, Búsqueda'!L10,'10, Ayuda'!L7)</f>
        <v/>
      </c>
    </row>
    <row r="5" ht="36.75" customHeight="1" s="3">
      <c r="D5" s="74" t="inlineStr">
        <is>
          <t>El sumatorio de los valores de relevancia de los criterios evaluados es:</t>
        </is>
      </c>
      <c r="E5" s="108" t="n"/>
      <c r="F5" s="47">
        <f>SUM('1, Aspectos generales'!G13,'2, Identidad e Información'!G10,'3, Estructura y navegación'!G17,'4, Rotulado'!G9,'5, Layout de la página'!G13,'6, Entendibilidad y Facilidad'!G10,'7, Control y Retoalimentación'!G13,'8, Elementos multimedia'!G9,'9, Búsqueda'!G11,'10, Ayuda'!G8)</f>
        <v/>
      </c>
      <c r="G5" t="inlineStr">
        <is>
          <t>*A los NA no se les aplica relevancia</t>
        </is>
      </c>
    </row>
    <row r="6">
      <c r="D6" s="24" t="inlineStr">
        <is>
          <t>Sumatorio de la columna i de cada criterio</t>
        </is>
      </c>
      <c r="E6" s="59" t="n"/>
      <c r="F6" s="109">
        <f>SUM('1, Aspectos generales'!I3:I12,'2, Identidad e Información'!I3:I9,'3, Estructura y navegación'!I3:I16,'4, Rotulado'!I3:I8,'5, Layout de la página'!I3:I12,'6, Entendibilidad y Facilidad'!I3:I9,'7, Control y Retoalimentación'!I3:I12,'8, Elementos multimedia'!I3:I8,'9, Búsqueda'!I3:I10,'10, Ayuda'!I3:I7)</f>
        <v/>
      </c>
      <c r="G6" t="inlineStr">
        <is>
          <t>*Los NA no se tienen en cuenta</t>
        </is>
      </c>
    </row>
    <row r="7">
      <c r="D7" s="24" t="inlineStr">
        <is>
          <t>Sumatorio de la columna h *10 de cada criterio</t>
        </is>
      </c>
      <c r="E7" s="59" t="n"/>
      <c r="F7" s="109">
        <f>SUM('1, Aspectos generales'!J3:J12,'2, Identidad e Información'!J3:J9,'3, Estructura y navegación'!J3:J16,'4, Rotulado'!J3:J8,'5, Layout de la página'!J3:J12,'7, Control y Retoalimentación'!J3:J12,'8, Elementos multimedia'!J3:J8,'6, Entendibilidad y Facilidad'!J3:J9,'9, Búsqueda'!J3:J10,'10, Ayuda'!J3:J7)</f>
        <v/>
      </c>
      <c r="G7" t="inlineStr">
        <is>
          <t>*Los NA no se tienen en cuenta</t>
        </is>
      </c>
    </row>
    <row r="8">
      <c r="A8" t="inlineStr">
        <is>
          <t>Se obtiene de aplicar la siguiente fórmula:</t>
        </is>
      </c>
    </row>
    <row r="9">
      <c r="A9" s="5" t="n"/>
    </row>
    <row r="10">
      <c r="A10" s="5" t="n"/>
    </row>
    <row r="11">
      <c r="A11" s="5" t="n"/>
      <c r="B11" s="5" t="inlineStr">
        <is>
          <t>nce: número de criterios evaluados. Será como máximo los 83. Los NA no contabilizan. Se toma de la celda E14 de esta hoja (NumEval)</t>
        </is>
      </c>
    </row>
    <row r="12">
      <c r="A12" s="2" t="n"/>
      <c r="B12" s="5" t="inlineStr">
        <is>
          <t>vc: valor de evaluación de un criterio (campo de la columna f "Valor interno" de cada criterio en cada hoja)</t>
        </is>
      </c>
    </row>
    <row r="13">
      <c r="A13" s="2" t="n"/>
      <c r="B13" s="5" t="inlineStr">
        <is>
          <t xml:space="preserve">fc: Factor de corrección aplicado al criterio evaluado. </t>
        </is>
      </c>
    </row>
    <row r="14">
      <c r="A14" s="2" t="n"/>
      <c r="B14" s="5" t="inlineStr">
        <is>
          <t>El valor del factor de corrección de cada uno de los criterios evaluados se obtiene de la siguiente manera:</t>
        </is>
      </c>
    </row>
    <row r="15">
      <c r="A15" s="2" t="n"/>
    </row>
    <row r="16">
      <c r="A16" s="2" t="n"/>
    </row>
    <row r="17">
      <c r="A17" s="2" t="n"/>
      <c r="D17" s="5" t="inlineStr">
        <is>
          <t>rc : Valor de relevancia que corresponde a un criterio (campo de la columna g "Valor interno de Relevancia")</t>
        </is>
      </c>
    </row>
    <row r="18">
      <c r="A18" s="2" t="n"/>
    </row>
    <row r="19" ht="127.5" customHeight="1" s="3">
      <c r="A19" s="5" t="n"/>
    </row>
    <row r="23">
      <c r="A23" s="5" t="n"/>
    </row>
    <row r="24">
      <c r="A24" s="2" t="n"/>
    </row>
    <row r="25">
      <c r="A25" s="2" t="n"/>
    </row>
    <row r="26">
      <c r="A26" s="2" t="n"/>
    </row>
    <row r="27">
      <c r="A27" s="2" t="n"/>
    </row>
    <row r="28">
      <c r="A28" s="2" t="n"/>
    </row>
    <row r="29">
      <c r="A29" s="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mergeCells count="2">
    <mergeCell ref="D4:E4"/>
    <mergeCell ref="D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 codeName="Hoja14">
    <outlinePr summaryBelow="1" summaryRight="1"/>
    <pageSetUpPr/>
  </sheetPr>
  <dimension ref="A1:Q122"/>
  <sheetViews>
    <sheetView showGridLines="0" topLeftCell="A85" workbookViewId="0">
      <selection activeCell="A122" sqref="A122"/>
    </sheetView>
  </sheetViews>
  <sheetFormatPr baseColWidth="10" defaultRowHeight="14.4"/>
  <cols>
    <col width="69.88671875" customWidth="1" style="3" min="1" max="1"/>
    <col width="5.44140625" customWidth="1" style="3" min="2" max="17"/>
  </cols>
  <sheetData>
    <row r="1">
      <c r="A1" s="26" t="inlineStr">
        <is>
          <t>TABLA 6.21. RELEVANCIA DEL INCUMPLIMIENTO DE LOS CRITERIOS DE "ASPECTOS GENERALES"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</row>
    <row r="2" ht="18" customHeight="1" s="3">
      <c r="A2" s="27" t="n"/>
      <c r="B2" s="28" t="inlineStr">
        <is>
          <t>Tipo de Sitio</t>
        </is>
      </c>
      <c r="C2" s="27" t="n"/>
      <c r="D2" s="27" t="n"/>
      <c r="E2" s="27" t="n"/>
      <c r="F2" s="27" t="n"/>
      <c r="G2" s="27" t="n"/>
      <c r="H2" s="27" t="n"/>
      <c r="I2" s="27" t="n"/>
      <c r="J2" s="27" t="n"/>
      <c r="K2" s="27" t="n"/>
      <c r="L2" s="27" t="n"/>
      <c r="M2" s="27" t="n"/>
      <c r="N2" s="27" t="n"/>
      <c r="O2" s="27" t="n"/>
      <c r="P2" s="27" t="n"/>
      <c r="Q2" s="27" t="n"/>
    </row>
    <row r="3" ht="110.4" customHeight="1" s="3">
      <c r="A3" s="28" t="inlineStr">
        <is>
          <t>Criterio</t>
        </is>
      </c>
      <c r="B3" s="29" t="inlineStr">
        <is>
          <t>Administración Pública / Institucional</t>
        </is>
      </c>
      <c r="C3" s="29" t="inlineStr">
        <is>
          <t>Banca electrónica</t>
        </is>
      </c>
      <c r="D3" s="29" t="inlineStr">
        <is>
          <t>Blog</t>
        </is>
      </c>
      <c r="E3" s="29" t="inlineStr">
        <is>
          <t>Comercio electrónico</t>
        </is>
      </c>
      <c r="F3" s="29" t="inlineStr">
        <is>
          <t>Comunicación / Noticias</t>
        </is>
      </c>
      <c r="G3" s="29" t="inlineStr">
        <is>
          <t>Corporativo / Empresa</t>
        </is>
      </c>
      <c r="H3" s="29" t="inlineStr">
        <is>
          <t>Descargas</t>
        </is>
      </c>
      <c r="I3" s="29" t="inlineStr">
        <is>
          <t>Educativo / Formativo</t>
        </is>
      </c>
      <c r="J3" s="29" t="inlineStr">
        <is>
          <t>Entornos colaborativos / Wikis</t>
        </is>
      </c>
      <c r="K3" s="29" t="inlineStr">
        <is>
          <t>Foros / Chat</t>
        </is>
      </c>
      <c r="L3" s="29" t="inlineStr">
        <is>
          <t>Ocio / Entretenimiento</t>
        </is>
      </c>
      <c r="M3" s="29" t="inlineStr">
        <is>
          <t>Personal</t>
        </is>
      </c>
      <c r="N3" s="29" t="inlineStr">
        <is>
          <t>Portal de Servicios</t>
        </is>
      </c>
      <c r="O3" s="29" t="inlineStr">
        <is>
          <t>Servicios interactivos basados en imágenes</t>
        </is>
      </c>
      <c r="P3" s="29" t="inlineStr">
        <is>
          <t>Servicios interactivos no basados en imágenes</t>
        </is>
      </c>
      <c r="Q3" s="29" t="inlineStr">
        <is>
          <t>Webmail / Correo</t>
        </is>
      </c>
    </row>
    <row r="4">
      <c r="A4" s="27">
        <f>CONCATENATE('1, Aspectos generales'!A3,": ",'1, Aspectos generales'!B3)</f>
        <v/>
      </c>
      <c r="B4" s="31" t="inlineStr">
        <is>
          <t>MA</t>
        </is>
      </c>
      <c r="C4" s="31" t="inlineStr">
        <is>
          <t>MA</t>
        </is>
      </c>
      <c r="D4" s="31" t="inlineStr">
        <is>
          <t>MO</t>
        </is>
      </c>
      <c r="E4" s="31" t="inlineStr">
        <is>
          <t>MA</t>
        </is>
      </c>
      <c r="F4" s="31" t="inlineStr">
        <is>
          <t>ME</t>
        </is>
      </c>
      <c r="G4" s="31" t="inlineStr">
        <is>
          <t>MA</t>
        </is>
      </c>
      <c r="H4" s="31" t="inlineStr">
        <is>
          <t>ME</t>
        </is>
      </c>
      <c r="I4" s="31" t="inlineStr">
        <is>
          <t>MA</t>
        </is>
      </c>
      <c r="J4" s="31" t="inlineStr">
        <is>
          <t>MA</t>
        </is>
      </c>
      <c r="K4" s="31" t="inlineStr">
        <is>
          <t>MO</t>
        </is>
      </c>
      <c r="L4" s="31" t="inlineStr">
        <is>
          <t>ME</t>
        </is>
      </c>
      <c r="M4" s="31" t="inlineStr">
        <is>
          <t>ME</t>
        </is>
      </c>
      <c r="N4" s="31" t="inlineStr">
        <is>
          <t>MA</t>
        </is>
      </c>
      <c r="O4" s="31" t="inlineStr">
        <is>
          <t>MA</t>
        </is>
      </c>
      <c r="P4" s="31" t="inlineStr">
        <is>
          <t>MA</t>
        </is>
      </c>
      <c r="Q4" s="31" t="inlineStr">
        <is>
          <t>ME</t>
        </is>
      </c>
    </row>
    <row r="5">
      <c r="A5" s="27">
        <f>CONCATENATE('1, Aspectos generales'!A4,": ",'1, Aspectos generales'!B4)</f>
        <v/>
      </c>
      <c r="B5" s="31" t="inlineStr">
        <is>
          <t>CR</t>
        </is>
      </c>
      <c r="C5" s="31" t="inlineStr">
        <is>
          <t>CR</t>
        </is>
      </c>
      <c r="D5" s="31" t="inlineStr">
        <is>
          <t>MO</t>
        </is>
      </c>
      <c r="E5" s="31" t="inlineStr">
        <is>
          <t>CR</t>
        </is>
      </c>
      <c r="F5" s="31" t="inlineStr">
        <is>
          <t>CR</t>
        </is>
      </c>
      <c r="G5" s="31" t="inlineStr">
        <is>
          <t>MA</t>
        </is>
      </c>
      <c r="H5" s="31" t="inlineStr">
        <is>
          <t>MA</t>
        </is>
      </c>
      <c r="I5" s="31" t="inlineStr">
        <is>
          <t>CR</t>
        </is>
      </c>
      <c r="J5" s="31" t="inlineStr">
        <is>
          <t>MA</t>
        </is>
      </c>
      <c r="K5" s="31" t="inlineStr">
        <is>
          <t>MO</t>
        </is>
      </c>
      <c r="L5" s="31" t="inlineStr">
        <is>
          <t>ME</t>
        </is>
      </c>
      <c r="M5" s="31" t="inlineStr">
        <is>
          <t>ME</t>
        </is>
      </c>
      <c r="N5" s="31" t="inlineStr">
        <is>
          <t>MA</t>
        </is>
      </c>
      <c r="O5" s="31" t="inlineStr">
        <is>
          <t>MA</t>
        </is>
      </c>
      <c r="P5" s="31" t="inlineStr">
        <is>
          <t>MA</t>
        </is>
      </c>
      <c r="Q5" s="31" t="inlineStr">
        <is>
          <t>MA</t>
        </is>
      </c>
    </row>
    <row r="6">
      <c r="A6" s="27">
        <f>CONCATENATE('1, Aspectos generales'!A5,": ",'1, Aspectos generales'!B5)</f>
        <v/>
      </c>
      <c r="B6" s="31" t="inlineStr">
        <is>
          <t>MA</t>
        </is>
      </c>
      <c r="C6" s="31" t="inlineStr">
        <is>
          <t>MA</t>
        </is>
      </c>
      <c r="D6" s="31" t="inlineStr">
        <is>
          <t>ME</t>
        </is>
      </c>
      <c r="E6" s="31" t="inlineStr">
        <is>
          <t>MA</t>
        </is>
      </c>
      <c r="F6" s="31" t="inlineStr">
        <is>
          <t>MA</t>
        </is>
      </c>
      <c r="G6" s="31" t="inlineStr">
        <is>
          <t>MA</t>
        </is>
      </c>
      <c r="H6" s="31" t="inlineStr">
        <is>
          <t>MA</t>
        </is>
      </c>
      <c r="I6" s="31" t="inlineStr">
        <is>
          <t>MA</t>
        </is>
      </c>
      <c r="J6" s="31" t="inlineStr">
        <is>
          <t>MA</t>
        </is>
      </c>
      <c r="K6" s="31" t="inlineStr">
        <is>
          <t>MA</t>
        </is>
      </c>
      <c r="L6" s="31" t="inlineStr">
        <is>
          <t>ME</t>
        </is>
      </c>
      <c r="M6" s="31" t="inlineStr">
        <is>
          <t>ME</t>
        </is>
      </c>
      <c r="N6" s="31" t="inlineStr">
        <is>
          <t>MA</t>
        </is>
      </c>
      <c r="O6" s="31" t="inlineStr">
        <is>
          <t>ME</t>
        </is>
      </c>
      <c r="P6" s="31" t="inlineStr">
        <is>
          <t>MA</t>
        </is>
      </c>
      <c r="Q6" s="31" t="inlineStr">
        <is>
          <t>MA</t>
        </is>
      </c>
    </row>
    <row r="7">
      <c r="A7" s="27">
        <f>CONCATENATE('1, Aspectos generales'!A6,": ",'1, Aspectos generales'!B6)</f>
        <v/>
      </c>
      <c r="B7" s="31" t="inlineStr">
        <is>
          <t>MA</t>
        </is>
      </c>
      <c r="C7" s="31" t="inlineStr">
        <is>
          <t>MA</t>
        </is>
      </c>
      <c r="D7" s="31" t="inlineStr">
        <is>
          <t>MO</t>
        </is>
      </c>
      <c r="E7" s="31" t="inlineStr">
        <is>
          <t>ME</t>
        </is>
      </c>
      <c r="F7" s="31" t="inlineStr">
        <is>
          <t>MA</t>
        </is>
      </c>
      <c r="G7" s="31" t="inlineStr">
        <is>
          <t>ME</t>
        </is>
      </c>
      <c r="H7" s="31" t="inlineStr">
        <is>
          <t>MO</t>
        </is>
      </c>
      <c r="I7" s="31" t="inlineStr">
        <is>
          <t>ME</t>
        </is>
      </c>
      <c r="J7" s="31" t="inlineStr">
        <is>
          <t>ME</t>
        </is>
      </c>
      <c r="K7" s="31" t="inlineStr">
        <is>
          <t>ME</t>
        </is>
      </c>
      <c r="L7" s="31" t="inlineStr">
        <is>
          <t>ME</t>
        </is>
      </c>
      <c r="M7" s="31" t="inlineStr">
        <is>
          <t>ME</t>
        </is>
      </c>
      <c r="N7" s="31" t="inlineStr">
        <is>
          <t>ME</t>
        </is>
      </c>
      <c r="O7" s="31" t="inlineStr">
        <is>
          <t>ME</t>
        </is>
      </c>
      <c r="P7" s="31" t="inlineStr">
        <is>
          <t>ME</t>
        </is>
      </c>
      <c r="Q7" s="31" t="inlineStr">
        <is>
          <t>MA</t>
        </is>
      </c>
    </row>
    <row r="8">
      <c r="A8" s="27">
        <f>CONCATENATE('1, Aspectos generales'!A7,": ",'1, Aspectos generales'!B7)</f>
        <v/>
      </c>
      <c r="B8" s="31" t="inlineStr">
        <is>
          <t>MA</t>
        </is>
      </c>
      <c r="C8" s="31" t="inlineStr">
        <is>
          <t>MA</t>
        </is>
      </c>
      <c r="D8" s="31" t="inlineStr">
        <is>
          <t>ME</t>
        </is>
      </c>
      <c r="E8" s="31" t="inlineStr">
        <is>
          <t>MA</t>
        </is>
      </c>
      <c r="F8" s="31" t="inlineStr">
        <is>
          <t>ME</t>
        </is>
      </c>
      <c r="G8" s="31" t="inlineStr">
        <is>
          <t>ME</t>
        </is>
      </c>
      <c r="H8" s="31" t="inlineStr">
        <is>
          <t>ME</t>
        </is>
      </c>
      <c r="I8" s="31" t="inlineStr">
        <is>
          <t>ME</t>
        </is>
      </c>
      <c r="J8" s="31" t="inlineStr">
        <is>
          <t>ME</t>
        </is>
      </c>
      <c r="K8" s="31" t="inlineStr">
        <is>
          <t>ME</t>
        </is>
      </c>
      <c r="L8" s="31" t="inlineStr">
        <is>
          <t>ME</t>
        </is>
      </c>
      <c r="M8" s="31" t="inlineStr">
        <is>
          <t>ME</t>
        </is>
      </c>
      <c r="N8" s="31" t="inlineStr">
        <is>
          <t>MA</t>
        </is>
      </c>
      <c r="O8" s="31" t="inlineStr">
        <is>
          <t>MO</t>
        </is>
      </c>
      <c r="P8" s="31" t="inlineStr">
        <is>
          <t>ME</t>
        </is>
      </c>
      <c r="Q8" s="31" t="inlineStr">
        <is>
          <t>MA</t>
        </is>
      </c>
    </row>
    <row r="9">
      <c r="A9" s="27">
        <f>CONCATENATE('1, Aspectos generales'!A8,": ",'1, Aspectos generales'!B8)</f>
        <v/>
      </c>
      <c r="B9" s="31" t="inlineStr">
        <is>
          <t>CR</t>
        </is>
      </c>
      <c r="C9" s="31" t="inlineStr">
        <is>
          <t>MA</t>
        </is>
      </c>
      <c r="D9" s="31" t="inlineStr">
        <is>
          <t>ME</t>
        </is>
      </c>
      <c r="E9" s="31" t="inlineStr">
        <is>
          <t>MA</t>
        </is>
      </c>
      <c r="F9" s="31" t="inlineStr">
        <is>
          <t>MA</t>
        </is>
      </c>
      <c r="G9" s="31" t="inlineStr">
        <is>
          <t>ME</t>
        </is>
      </c>
      <c r="H9" s="31" t="inlineStr">
        <is>
          <t>ME</t>
        </is>
      </c>
      <c r="I9" s="31" t="inlineStr">
        <is>
          <t>MA</t>
        </is>
      </c>
      <c r="J9" s="31" t="inlineStr">
        <is>
          <t>ME</t>
        </is>
      </c>
      <c r="K9" s="31" t="inlineStr">
        <is>
          <t>ME</t>
        </is>
      </c>
      <c r="L9" s="31" t="inlineStr">
        <is>
          <t>ME</t>
        </is>
      </c>
      <c r="M9" s="31" t="inlineStr">
        <is>
          <t>ME</t>
        </is>
      </c>
      <c r="N9" s="31" t="inlineStr">
        <is>
          <t>MA</t>
        </is>
      </c>
      <c r="O9" s="31" t="inlineStr">
        <is>
          <t>MA</t>
        </is>
      </c>
      <c r="P9" s="31" t="inlineStr">
        <is>
          <t>ME</t>
        </is>
      </c>
      <c r="Q9" s="31" t="inlineStr">
        <is>
          <t>MA</t>
        </is>
      </c>
    </row>
    <row r="10">
      <c r="A10" s="27">
        <f>CONCATENATE('1, Aspectos generales'!A9,": ",'1, Aspectos generales'!B9)</f>
        <v/>
      </c>
      <c r="B10" s="31" t="inlineStr">
        <is>
          <t>MA</t>
        </is>
      </c>
      <c r="C10" s="31" t="inlineStr">
        <is>
          <t>MA</t>
        </is>
      </c>
      <c r="D10" s="31" t="inlineStr">
        <is>
          <t>MA</t>
        </is>
      </c>
      <c r="E10" s="31" t="inlineStr">
        <is>
          <t>MA</t>
        </is>
      </c>
      <c r="F10" s="31" t="inlineStr">
        <is>
          <t>MA</t>
        </is>
      </c>
      <c r="G10" s="31" t="inlineStr">
        <is>
          <t>MA</t>
        </is>
      </c>
      <c r="H10" s="31" t="inlineStr">
        <is>
          <t>MO</t>
        </is>
      </c>
      <c r="I10" s="31" t="inlineStr">
        <is>
          <t>MA</t>
        </is>
      </c>
      <c r="J10" s="31" t="inlineStr">
        <is>
          <t>MA</t>
        </is>
      </c>
      <c r="K10" s="31" t="inlineStr">
        <is>
          <t>MA</t>
        </is>
      </c>
      <c r="L10" s="31" t="inlineStr">
        <is>
          <t>ME</t>
        </is>
      </c>
      <c r="M10" s="31" t="inlineStr">
        <is>
          <t>MO</t>
        </is>
      </c>
      <c r="N10" s="31" t="inlineStr">
        <is>
          <t>MA</t>
        </is>
      </c>
      <c r="O10" s="31" t="inlineStr">
        <is>
          <t>ME</t>
        </is>
      </c>
      <c r="P10" s="31" t="inlineStr">
        <is>
          <t>ME</t>
        </is>
      </c>
      <c r="Q10" s="31" t="inlineStr">
        <is>
          <t>ME</t>
        </is>
      </c>
    </row>
    <row r="11">
      <c r="A11" s="27">
        <f>CONCATENATE('1, Aspectos generales'!A10,": ",'1, Aspectos generales'!B10)</f>
        <v/>
      </c>
      <c r="B11" s="31" t="inlineStr">
        <is>
          <t>MA</t>
        </is>
      </c>
      <c r="C11" s="31" t="inlineStr">
        <is>
          <t>MA</t>
        </is>
      </c>
      <c r="D11" s="31" t="inlineStr">
        <is>
          <t>MO</t>
        </is>
      </c>
      <c r="E11" s="31" t="inlineStr">
        <is>
          <t>MA</t>
        </is>
      </c>
      <c r="F11" s="31" t="inlineStr">
        <is>
          <t>MA</t>
        </is>
      </c>
      <c r="G11" s="31" t="inlineStr">
        <is>
          <t>MA</t>
        </is>
      </c>
      <c r="H11" s="31" t="inlineStr">
        <is>
          <t>MO</t>
        </is>
      </c>
      <c r="I11" s="31" t="inlineStr">
        <is>
          <t>ME</t>
        </is>
      </c>
      <c r="J11" s="31" t="inlineStr">
        <is>
          <t>MO</t>
        </is>
      </c>
      <c r="K11" s="31" t="inlineStr">
        <is>
          <t>MO</t>
        </is>
      </c>
      <c r="L11" s="31" t="inlineStr">
        <is>
          <t>MO</t>
        </is>
      </c>
      <c r="M11" s="31" t="inlineStr">
        <is>
          <t>MO</t>
        </is>
      </c>
      <c r="N11" s="31" t="inlineStr">
        <is>
          <t>ME</t>
        </is>
      </c>
      <c r="O11" s="31" t="inlineStr">
        <is>
          <t>MO</t>
        </is>
      </c>
      <c r="P11" s="31" t="inlineStr">
        <is>
          <t>ME</t>
        </is>
      </c>
      <c r="Q11" s="31" t="inlineStr">
        <is>
          <t>ME</t>
        </is>
      </c>
    </row>
    <row r="12">
      <c r="A12" s="27">
        <f>CONCATENATE('1, Aspectos generales'!A11,": ",'1, Aspectos generales'!B11)</f>
        <v/>
      </c>
      <c r="B12" s="31" t="inlineStr">
        <is>
          <t>MA</t>
        </is>
      </c>
      <c r="C12" s="31" t="inlineStr">
        <is>
          <t>MA</t>
        </is>
      </c>
      <c r="D12" s="31" t="inlineStr">
        <is>
          <t>ME</t>
        </is>
      </c>
      <c r="E12" s="31" t="inlineStr">
        <is>
          <t>MA</t>
        </is>
      </c>
      <c r="F12" s="31" t="inlineStr">
        <is>
          <t>MA</t>
        </is>
      </c>
      <c r="G12" s="31" t="inlineStr">
        <is>
          <t>ME</t>
        </is>
      </c>
      <c r="H12" s="31" t="inlineStr">
        <is>
          <t>MO</t>
        </is>
      </c>
      <c r="I12" s="31" t="inlineStr">
        <is>
          <t>ME</t>
        </is>
      </c>
      <c r="J12" s="31" t="inlineStr">
        <is>
          <t>ME</t>
        </is>
      </c>
      <c r="K12" s="31" t="inlineStr">
        <is>
          <t>ME</t>
        </is>
      </c>
      <c r="L12" s="31" t="inlineStr">
        <is>
          <t>MO</t>
        </is>
      </c>
      <c r="M12" s="31" t="inlineStr">
        <is>
          <t>ME</t>
        </is>
      </c>
      <c r="N12" s="31" t="inlineStr">
        <is>
          <t>ME</t>
        </is>
      </c>
      <c r="O12" s="31" t="inlineStr">
        <is>
          <t>MO</t>
        </is>
      </c>
      <c r="P12" s="31" t="inlineStr">
        <is>
          <t>ME</t>
        </is>
      </c>
      <c r="Q12" s="31" t="inlineStr">
        <is>
          <t>ME</t>
        </is>
      </c>
    </row>
    <row r="13">
      <c r="A13" s="27">
        <f>CONCATENATE('1, Aspectos generales'!A12,": ",'1, Aspectos generales'!B12)</f>
        <v/>
      </c>
      <c r="B13" s="31" t="inlineStr">
        <is>
          <t>MA</t>
        </is>
      </c>
      <c r="C13" s="31" t="inlineStr">
        <is>
          <t>ME</t>
        </is>
      </c>
      <c r="D13" s="31" t="inlineStr">
        <is>
          <t>CR</t>
        </is>
      </c>
      <c r="E13" s="31" t="inlineStr">
        <is>
          <t>MA</t>
        </is>
      </c>
      <c r="F13" s="31" t="inlineStr">
        <is>
          <t>CR</t>
        </is>
      </c>
      <c r="G13" s="31" t="inlineStr">
        <is>
          <t>ME</t>
        </is>
      </c>
      <c r="H13" s="31" t="inlineStr">
        <is>
          <t>MA</t>
        </is>
      </c>
      <c r="I13" s="31" t="inlineStr">
        <is>
          <t>ME</t>
        </is>
      </c>
      <c r="J13" s="31" t="inlineStr">
        <is>
          <t>MA</t>
        </is>
      </c>
      <c r="K13" s="31" t="inlineStr">
        <is>
          <t>MA</t>
        </is>
      </c>
      <c r="L13" s="31" t="inlineStr">
        <is>
          <t>MA</t>
        </is>
      </c>
      <c r="M13" s="31" t="inlineStr">
        <is>
          <t>ME</t>
        </is>
      </c>
      <c r="N13" s="31" t="inlineStr">
        <is>
          <t>MA</t>
        </is>
      </c>
      <c r="O13" s="31" t="inlineStr">
        <is>
          <t>MA</t>
        </is>
      </c>
      <c r="P13" s="31" t="inlineStr">
        <is>
          <t>MA</t>
        </is>
      </c>
      <c r="Q13" s="31" t="inlineStr">
        <is>
          <t>CR</t>
        </is>
      </c>
    </row>
    <row r="14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7" t="n"/>
      <c r="N14" s="27" t="n"/>
      <c r="O14" s="27" t="n"/>
      <c r="P14" s="27" t="n"/>
      <c r="Q14" s="27" t="n"/>
    </row>
    <row r="15">
      <c r="A15" s="26" t="inlineStr">
        <is>
          <t>TABLA 6.22. RELEVANCIA DEL INCUMPLIMIENTO DE LOS CRITERIOS DE "IDENTIDAD E INFORMACIÓN"</t>
        </is>
      </c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7" t="n"/>
      <c r="N15" s="27" t="n"/>
      <c r="O15" s="27" t="n"/>
      <c r="P15" s="27" t="n"/>
      <c r="Q15" s="27" t="n"/>
    </row>
    <row r="16" ht="18" customHeight="1" s="3">
      <c r="A16" s="27" t="n"/>
      <c r="B16" s="28" t="inlineStr">
        <is>
          <t>Tipo de Sitio</t>
        </is>
      </c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7" t="n"/>
      <c r="N16" s="27" t="n"/>
      <c r="O16" s="27" t="n"/>
      <c r="P16" s="27" t="n"/>
      <c r="Q16" s="27" t="n"/>
    </row>
    <row r="17" ht="110.4" customHeight="1" s="3">
      <c r="A17" s="28" t="inlineStr">
        <is>
          <t>Criterio</t>
        </is>
      </c>
      <c r="B17" s="29">
        <f>B$3</f>
        <v/>
      </c>
      <c r="C17" s="29">
        <f>C$3</f>
        <v/>
      </c>
      <c r="D17" s="29">
        <f>D$3</f>
        <v/>
      </c>
      <c r="E17" s="29">
        <f>E$3</f>
        <v/>
      </c>
      <c r="F17" s="29">
        <f>F$3</f>
        <v/>
      </c>
      <c r="G17" s="29">
        <f>G$3</f>
        <v/>
      </c>
      <c r="H17" s="29">
        <f>H$3</f>
        <v/>
      </c>
      <c r="I17" s="29">
        <f>I$3</f>
        <v/>
      </c>
      <c r="J17" s="29">
        <f>J$3</f>
        <v/>
      </c>
      <c r="K17" s="29">
        <f>K$3</f>
        <v/>
      </c>
      <c r="L17" s="29">
        <f>L$3</f>
        <v/>
      </c>
      <c r="M17" s="29">
        <f>M$3</f>
        <v/>
      </c>
      <c r="N17" s="29">
        <f>N$3</f>
        <v/>
      </c>
      <c r="O17" s="29">
        <f>O$3</f>
        <v/>
      </c>
      <c r="P17" s="29">
        <f>P$3</f>
        <v/>
      </c>
      <c r="Q17" s="29">
        <f>Q$3</f>
        <v/>
      </c>
    </row>
    <row r="18">
      <c r="A18" s="30">
        <f>CONCATENATE('2, Identidad e Información'!A3,": ",'2, Identidad e Información'!B3)</f>
        <v/>
      </c>
      <c r="B18" s="31" t="inlineStr">
        <is>
          <t>MA</t>
        </is>
      </c>
      <c r="C18" s="31" t="inlineStr">
        <is>
          <t>ME</t>
        </is>
      </c>
      <c r="D18" s="31" t="inlineStr">
        <is>
          <t>MO</t>
        </is>
      </c>
      <c r="E18" s="31" t="inlineStr">
        <is>
          <t>ME</t>
        </is>
      </c>
      <c r="F18" s="31" t="inlineStr">
        <is>
          <t>ME</t>
        </is>
      </c>
      <c r="G18" s="31" t="inlineStr">
        <is>
          <t>ME</t>
        </is>
      </c>
      <c r="H18" s="31" t="inlineStr">
        <is>
          <t>ME</t>
        </is>
      </c>
      <c r="I18" s="31" t="inlineStr">
        <is>
          <t>MO</t>
        </is>
      </c>
      <c r="J18" s="31" t="inlineStr">
        <is>
          <t>MO</t>
        </is>
      </c>
      <c r="K18" s="31" t="inlineStr">
        <is>
          <t>MO</t>
        </is>
      </c>
      <c r="L18" s="31" t="inlineStr">
        <is>
          <t>MO</t>
        </is>
      </c>
      <c r="M18" s="31" t="inlineStr">
        <is>
          <t>MO</t>
        </is>
      </c>
      <c r="N18" s="31" t="inlineStr">
        <is>
          <t>ME</t>
        </is>
      </c>
      <c r="O18" s="31" t="inlineStr">
        <is>
          <t>MO</t>
        </is>
      </c>
      <c r="P18" s="31" t="inlineStr">
        <is>
          <t>MO</t>
        </is>
      </c>
      <c r="Q18" s="31" t="inlineStr">
        <is>
          <t>ME</t>
        </is>
      </c>
    </row>
    <row r="19">
      <c r="A19" s="30">
        <f>CONCATENATE('2, Identidad e Información'!A4,": ",'2, Identidad e Información'!B4)</f>
        <v/>
      </c>
      <c r="B19" s="31" t="inlineStr">
        <is>
          <t>MA</t>
        </is>
      </c>
      <c r="C19" s="31" t="inlineStr">
        <is>
          <t>MA</t>
        </is>
      </c>
      <c r="D19" s="31" t="inlineStr">
        <is>
          <t>ME</t>
        </is>
      </c>
      <c r="E19" s="31" t="inlineStr">
        <is>
          <t>MA</t>
        </is>
      </c>
      <c r="F19" s="31" t="inlineStr">
        <is>
          <t>ME</t>
        </is>
      </c>
      <c r="G19" s="31" t="inlineStr">
        <is>
          <t>MA</t>
        </is>
      </c>
      <c r="H19" s="31" t="inlineStr">
        <is>
          <t>MO</t>
        </is>
      </c>
      <c r="I19" s="31" t="inlineStr">
        <is>
          <t>ME</t>
        </is>
      </c>
      <c r="J19" s="31" t="inlineStr">
        <is>
          <t>ME</t>
        </is>
      </c>
      <c r="K19" s="31" t="inlineStr">
        <is>
          <t>ME</t>
        </is>
      </c>
      <c r="L19" s="31" t="inlineStr">
        <is>
          <t>MO</t>
        </is>
      </c>
      <c r="M19" s="31" t="inlineStr">
        <is>
          <t>MO</t>
        </is>
      </c>
      <c r="N19" s="31" t="inlineStr">
        <is>
          <t>ME</t>
        </is>
      </c>
      <c r="O19" s="31" t="inlineStr">
        <is>
          <t>ME</t>
        </is>
      </c>
      <c r="P19" s="31" t="inlineStr">
        <is>
          <t>ME</t>
        </is>
      </c>
      <c r="Q19" s="31" t="inlineStr">
        <is>
          <t>ME</t>
        </is>
      </c>
    </row>
    <row r="20">
      <c r="A20" s="30">
        <f>CONCATENATE('2, Identidad e Información'!A5,": ",'2, Identidad e Información'!B5)</f>
        <v/>
      </c>
      <c r="B20" s="31" t="inlineStr">
        <is>
          <t>ME</t>
        </is>
      </c>
      <c r="C20" s="31" t="inlineStr">
        <is>
          <t>ME</t>
        </is>
      </c>
      <c r="D20" s="31" t="inlineStr">
        <is>
          <t>MO</t>
        </is>
      </c>
      <c r="E20" s="31" t="inlineStr">
        <is>
          <t>ME</t>
        </is>
      </c>
      <c r="F20" s="31" t="inlineStr">
        <is>
          <t>MO</t>
        </is>
      </c>
      <c r="G20" s="31" t="inlineStr">
        <is>
          <t>ME</t>
        </is>
      </c>
      <c r="H20" s="31" t="inlineStr">
        <is>
          <t>MO</t>
        </is>
      </c>
      <c r="I20" s="31" t="inlineStr">
        <is>
          <t>ME</t>
        </is>
      </c>
      <c r="J20" s="31" t="inlineStr">
        <is>
          <t>MO</t>
        </is>
      </c>
      <c r="K20" s="31" t="inlineStr">
        <is>
          <t>MO</t>
        </is>
      </c>
      <c r="L20" s="31" t="inlineStr">
        <is>
          <t>MO</t>
        </is>
      </c>
      <c r="M20" s="31" t="inlineStr">
        <is>
          <t>ME</t>
        </is>
      </c>
      <c r="N20" s="31" t="inlineStr">
        <is>
          <t>ME</t>
        </is>
      </c>
      <c r="O20" s="31" t="inlineStr">
        <is>
          <t>MO</t>
        </is>
      </c>
      <c r="P20" s="31" t="inlineStr">
        <is>
          <t>ME</t>
        </is>
      </c>
      <c r="Q20" s="31" t="inlineStr">
        <is>
          <t>MO</t>
        </is>
      </c>
    </row>
    <row r="21">
      <c r="A21" s="30">
        <f>CONCATENATE('2, Identidad e Información'!A6,": ",'2, Identidad e Información'!B6)</f>
        <v/>
      </c>
      <c r="B21" s="31" t="inlineStr">
        <is>
          <t>MA</t>
        </is>
      </c>
      <c r="C21" s="31" t="inlineStr">
        <is>
          <t>MA</t>
        </is>
      </c>
      <c r="D21" s="31" t="inlineStr">
        <is>
          <t>ME</t>
        </is>
      </c>
      <c r="E21" s="31" t="inlineStr">
        <is>
          <t>ME</t>
        </is>
      </c>
      <c r="F21" s="31" t="inlineStr">
        <is>
          <t>ME</t>
        </is>
      </c>
      <c r="G21" s="31" t="inlineStr">
        <is>
          <t>ME</t>
        </is>
      </c>
      <c r="H21" s="31" t="inlineStr">
        <is>
          <t>ME</t>
        </is>
      </c>
      <c r="I21" s="31" t="inlineStr">
        <is>
          <t>ME</t>
        </is>
      </c>
      <c r="J21" s="31" t="inlineStr">
        <is>
          <t>ME</t>
        </is>
      </c>
      <c r="K21" s="31" t="inlineStr">
        <is>
          <t>ME</t>
        </is>
      </c>
      <c r="L21" s="31" t="inlineStr">
        <is>
          <t>ME</t>
        </is>
      </c>
      <c r="M21" s="31" t="inlineStr">
        <is>
          <t>MO</t>
        </is>
      </c>
      <c r="N21" s="31" t="inlineStr">
        <is>
          <t>ME</t>
        </is>
      </c>
      <c r="O21" s="31" t="inlineStr">
        <is>
          <t>MO</t>
        </is>
      </c>
      <c r="P21" s="31" t="inlineStr">
        <is>
          <t>ME</t>
        </is>
      </c>
      <c r="Q21" s="31" t="inlineStr">
        <is>
          <t>ME</t>
        </is>
      </c>
    </row>
    <row r="22">
      <c r="A22" s="30">
        <f>CONCATENATE('2, Identidad e Información'!A7,": ",'2, Identidad e Información'!B7)</f>
        <v/>
      </c>
      <c r="B22" s="31" t="inlineStr">
        <is>
          <t>MA</t>
        </is>
      </c>
      <c r="C22" s="31" t="inlineStr">
        <is>
          <t>MA</t>
        </is>
      </c>
      <c r="D22" s="31" t="inlineStr">
        <is>
          <t>ME</t>
        </is>
      </c>
      <c r="E22" s="31" t="inlineStr">
        <is>
          <t>MA</t>
        </is>
      </c>
      <c r="F22" s="31" t="inlineStr">
        <is>
          <t>ME</t>
        </is>
      </c>
      <c r="G22" s="31" t="inlineStr">
        <is>
          <t>MA</t>
        </is>
      </c>
      <c r="H22" s="31" t="inlineStr">
        <is>
          <t>MO</t>
        </is>
      </c>
      <c r="I22" s="31" t="inlineStr">
        <is>
          <t>ME</t>
        </is>
      </c>
      <c r="J22" s="31" t="inlineStr">
        <is>
          <t>ME</t>
        </is>
      </c>
      <c r="K22" s="31" t="inlineStr">
        <is>
          <t>ME</t>
        </is>
      </c>
      <c r="L22" s="31" t="inlineStr">
        <is>
          <t>MO</t>
        </is>
      </c>
      <c r="M22" s="31" t="inlineStr">
        <is>
          <t>ME</t>
        </is>
      </c>
      <c r="N22" s="31" t="inlineStr">
        <is>
          <t>ME</t>
        </is>
      </c>
      <c r="O22" s="31" t="inlineStr">
        <is>
          <t>ME</t>
        </is>
      </c>
      <c r="P22" s="31" t="inlineStr">
        <is>
          <t>ME</t>
        </is>
      </c>
      <c r="Q22" s="31" t="inlineStr">
        <is>
          <t>MO</t>
        </is>
      </c>
    </row>
    <row r="23" ht="27.6" customHeight="1" s="3">
      <c r="A23" s="30">
        <f>CONCATENATE('2, Identidad e Información'!A8,": ",'2, Identidad e Información'!B8)</f>
        <v/>
      </c>
      <c r="B23" s="31" t="inlineStr">
        <is>
          <t>MA</t>
        </is>
      </c>
      <c r="C23" s="31" t="inlineStr">
        <is>
          <t>MA</t>
        </is>
      </c>
      <c r="D23" s="31" t="inlineStr">
        <is>
          <t>ME</t>
        </is>
      </c>
      <c r="E23" s="31" t="inlineStr">
        <is>
          <t>MA</t>
        </is>
      </c>
      <c r="F23" s="31" t="inlineStr">
        <is>
          <t>ME</t>
        </is>
      </c>
      <c r="G23" s="31" t="inlineStr">
        <is>
          <t>ME</t>
        </is>
      </c>
      <c r="H23" s="31" t="inlineStr">
        <is>
          <t>MO</t>
        </is>
      </c>
      <c r="I23" s="31" t="inlineStr">
        <is>
          <t>ME</t>
        </is>
      </c>
      <c r="J23" s="31" t="inlineStr">
        <is>
          <t>ME</t>
        </is>
      </c>
      <c r="K23" s="31" t="inlineStr">
        <is>
          <t>ME</t>
        </is>
      </c>
      <c r="L23" s="31" t="inlineStr">
        <is>
          <t>MO</t>
        </is>
      </c>
      <c r="M23" s="31" t="inlineStr">
        <is>
          <t>MO</t>
        </is>
      </c>
      <c r="N23" s="31" t="inlineStr">
        <is>
          <t>MO</t>
        </is>
      </c>
      <c r="O23" s="31" t="inlineStr">
        <is>
          <t>MO</t>
        </is>
      </c>
      <c r="P23" s="31" t="inlineStr">
        <is>
          <t>ME</t>
        </is>
      </c>
      <c r="Q23" s="31" t="inlineStr">
        <is>
          <t>ME</t>
        </is>
      </c>
    </row>
    <row r="24" ht="27.6" customHeight="1" s="3">
      <c r="A24" s="30">
        <f>CONCATENATE('2, Identidad e Información'!A9,": ",'2, Identidad e Información'!B9)</f>
        <v/>
      </c>
      <c r="B24" s="31" t="inlineStr">
        <is>
          <t>ME</t>
        </is>
      </c>
      <c r="C24" s="31" t="inlineStr">
        <is>
          <t>ME</t>
        </is>
      </c>
      <c r="D24" s="31" t="inlineStr">
        <is>
          <t>ME</t>
        </is>
      </c>
      <c r="E24" s="31" t="inlineStr">
        <is>
          <t>ME</t>
        </is>
      </c>
      <c r="F24" s="31" t="inlineStr">
        <is>
          <t>MA</t>
        </is>
      </c>
      <c r="G24" s="31" t="inlineStr">
        <is>
          <t>ME</t>
        </is>
      </c>
      <c r="H24" s="31" t="inlineStr">
        <is>
          <t>MO</t>
        </is>
      </c>
      <c r="I24" s="31" t="inlineStr">
        <is>
          <t>MA</t>
        </is>
      </c>
      <c r="J24" s="31" t="inlineStr">
        <is>
          <t>MA</t>
        </is>
      </c>
      <c r="K24" s="31" t="inlineStr">
        <is>
          <t>MO</t>
        </is>
      </c>
      <c r="L24" s="31" t="inlineStr">
        <is>
          <t>ME</t>
        </is>
      </c>
      <c r="M24" s="31" t="inlineStr">
        <is>
          <t>ME</t>
        </is>
      </c>
      <c r="N24" s="31" t="inlineStr">
        <is>
          <t>ME</t>
        </is>
      </c>
      <c r="O24" s="31" t="inlineStr">
        <is>
          <t>MO</t>
        </is>
      </c>
      <c r="P24" s="31" t="inlineStr">
        <is>
          <t>ME</t>
        </is>
      </c>
      <c r="Q24" s="31" t="inlineStr">
        <is>
          <t>ME</t>
        </is>
      </c>
    </row>
    <row r="2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7" t="n"/>
      <c r="N25" s="27" t="n"/>
      <c r="O25" s="27" t="n"/>
      <c r="P25" s="27" t="n"/>
      <c r="Q25" s="27" t="n"/>
    </row>
    <row r="26">
      <c r="A26" s="26" t="inlineStr">
        <is>
          <t>TABLA 6.23. RELEVANCIA DEL INCUMPLIMIENTO DE LOS CRITERIOS DE "ESTRUCTURA Y NAVEGACIÓN"</t>
        </is>
      </c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7" t="n"/>
      <c r="N26" s="27" t="n"/>
      <c r="O26" s="27" t="n"/>
      <c r="P26" s="27" t="n"/>
      <c r="Q26" s="27" t="n"/>
    </row>
    <row r="27" ht="18" customHeight="1" s="3">
      <c r="A27" s="27" t="n"/>
      <c r="B27" s="28" t="inlineStr">
        <is>
          <t>Tipo de Sitio</t>
        </is>
      </c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</row>
    <row r="28" ht="110.4" customHeight="1" s="3">
      <c r="A28" s="28" t="inlineStr">
        <is>
          <t>Criterio</t>
        </is>
      </c>
      <c r="B28" s="29">
        <f>B$3</f>
        <v/>
      </c>
      <c r="C28" s="29">
        <f>C$3</f>
        <v/>
      </c>
      <c r="D28" s="29">
        <f>D$3</f>
        <v/>
      </c>
      <c r="E28" s="29">
        <f>E$3</f>
        <v/>
      </c>
      <c r="F28" s="29">
        <f>F$3</f>
        <v/>
      </c>
      <c r="G28" s="29">
        <f>G$3</f>
        <v/>
      </c>
      <c r="H28" s="29">
        <f>H$3</f>
        <v/>
      </c>
      <c r="I28" s="29">
        <f>I$3</f>
        <v/>
      </c>
      <c r="J28" s="29">
        <f>J$3</f>
        <v/>
      </c>
      <c r="K28" s="29">
        <f>K$3</f>
        <v/>
      </c>
      <c r="L28" s="29">
        <f>L$3</f>
        <v/>
      </c>
      <c r="M28" s="29">
        <f>M$3</f>
        <v/>
      </c>
      <c r="N28" s="29">
        <f>N$3</f>
        <v/>
      </c>
      <c r="O28" s="29">
        <f>O$3</f>
        <v/>
      </c>
      <c r="P28" s="29">
        <f>P$3</f>
        <v/>
      </c>
      <c r="Q28" s="29">
        <f>Q$3</f>
        <v/>
      </c>
    </row>
    <row r="29">
      <c r="A29" s="30">
        <f>CONCATENATE('3, Estructura y navegación'!A3,": ",'3, Estructura y navegación'!B3)</f>
        <v/>
      </c>
      <c r="B29" s="31" t="inlineStr">
        <is>
          <t>MO</t>
        </is>
      </c>
      <c r="C29" s="31" t="inlineStr">
        <is>
          <t>MO</t>
        </is>
      </c>
      <c r="D29" s="31" t="inlineStr">
        <is>
          <t>MO</t>
        </is>
      </c>
      <c r="E29" s="31" t="inlineStr">
        <is>
          <t>MO</t>
        </is>
      </c>
      <c r="F29" s="31" t="inlineStr">
        <is>
          <t>MO</t>
        </is>
      </c>
      <c r="G29" s="31" t="inlineStr">
        <is>
          <t>MO</t>
        </is>
      </c>
      <c r="H29" s="31" t="inlineStr">
        <is>
          <t>MO</t>
        </is>
      </c>
      <c r="I29" s="31" t="inlineStr">
        <is>
          <t>MO</t>
        </is>
      </c>
      <c r="J29" s="31" t="inlineStr">
        <is>
          <t>MO</t>
        </is>
      </c>
      <c r="K29" s="31" t="inlineStr">
        <is>
          <t>MO</t>
        </is>
      </c>
      <c r="L29" s="31" t="inlineStr">
        <is>
          <t>MO</t>
        </is>
      </c>
      <c r="M29" s="31" t="inlineStr">
        <is>
          <t>MO</t>
        </is>
      </c>
      <c r="N29" s="31" t="inlineStr">
        <is>
          <t>MO</t>
        </is>
      </c>
      <c r="O29" s="31" t="inlineStr">
        <is>
          <t>MO</t>
        </is>
      </c>
      <c r="P29" s="31" t="inlineStr">
        <is>
          <t>MO</t>
        </is>
      </c>
      <c r="Q29" s="31" t="inlineStr">
        <is>
          <t>MO</t>
        </is>
      </c>
    </row>
    <row r="30">
      <c r="A30" s="30">
        <f>CONCATENATE('3, Estructura y navegación'!A4,": ",'3, Estructura y navegación'!B4)</f>
        <v/>
      </c>
      <c r="B30" s="31" t="inlineStr">
        <is>
          <t>MA</t>
        </is>
      </c>
      <c r="C30" s="31" t="inlineStr">
        <is>
          <t>ME</t>
        </is>
      </c>
      <c r="D30" s="31" t="inlineStr">
        <is>
          <t>MA</t>
        </is>
      </c>
      <c r="E30" s="31" t="inlineStr">
        <is>
          <t>MA</t>
        </is>
      </c>
      <c r="F30" s="31" t="inlineStr">
        <is>
          <t>ME</t>
        </is>
      </c>
      <c r="G30" s="31" t="inlineStr">
        <is>
          <t>MA</t>
        </is>
      </c>
      <c r="H30" s="31" t="inlineStr">
        <is>
          <t>ME</t>
        </is>
      </c>
      <c r="I30" s="31" t="inlineStr">
        <is>
          <t>MA</t>
        </is>
      </c>
      <c r="J30" s="31" t="inlineStr">
        <is>
          <t>ME</t>
        </is>
      </c>
      <c r="K30" s="31" t="inlineStr">
        <is>
          <t>ME</t>
        </is>
      </c>
      <c r="L30" s="31" t="inlineStr">
        <is>
          <t>MO</t>
        </is>
      </c>
      <c r="M30" s="31" t="inlineStr">
        <is>
          <t>ME</t>
        </is>
      </c>
      <c r="N30" s="31" t="inlineStr">
        <is>
          <t>MA</t>
        </is>
      </c>
      <c r="O30" s="31" t="inlineStr">
        <is>
          <t>ME</t>
        </is>
      </c>
      <c r="P30" s="31" t="inlineStr">
        <is>
          <t>MA</t>
        </is>
      </c>
      <c r="Q30" s="31" t="inlineStr">
        <is>
          <t>MA</t>
        </is>
      </c>
    </row>
    <row r="31">
      <c r="A31" s="30">
        <f>CONCATENATE('3, Estructura y navegación'!A5,": ",'3, Estructura y navegación'!B5)</f>
        <v/>
      </c>
      <c r="B31" s="31" t="inlineStr">
        <is>
          <t>MA</t>
        </is>
      </c>
      <c r="C31" s="31" t="inlineStr">
        <is>
          <t>MO</t>
        </is>
      </c>
      <c r="D31" s="31" t="inlineStr">
        <is>
          <t>MA</t>
        </is>
      </c>
      <c r="E31" s="31" t="inlineStr">
        <is>
          <t>MA</t>
        </is>
      </c>
      <c r="F31" s="31" t="inlineStr">
        <is>
          <t>ME</t>
        </is>
      </c>
      <c r="G31" s="31" t="inlineStr">
        <is>
          <t>ME</t>
        </is>
      </c>
      <c r="H31" s="31" t="inlineStr">
        <is>
          <t>MO</t>
        </is>
      </c>
      <c r="I31" s="31" t="inlineStr">
        <is>
          <t>ME</t>
        </is>
      </c>
      <c r="J31" s="31" t="inlineStr">
        <is>
          <t>ME</t>
        </is>
      </c>
      <c r="K31" s="31" t="inlineStr">
        <is>
          <t>ME</t>
        </is>
      </c>
      <c r="L31" s="31" t="inlineStr">
        <is>
          <t>ME</t>
        </is>
      </c>
      <c r="M31" s="31" t="inlineStr">
        <is>
          <t>MO</t>
        </is>
      </c>
      <c r="N31" s="31" t="inlineStr">
        <is>
          <t>ME</t>
        </is>
      </c>
      <c r="O31" s="31" t="inlineStr">
        <is>
          <t>MA</t>
        </is>
      </c>
      <c r="P31" s="31" t="inlineStr">
        <is>
          <t>MA</t>
        </is>
      </c>
      <c r="Q31" s="31" t="inlineStr">
        <is>
          <t>ME</t>
        </is>
      </c>
    </row>
    <row r="32" ht="27.6" customHeight="1" s="3">
      <c r="A32" s="30">
        <f>CONCATENATE('3, Estructura y navegación'!A6,": ",'3, Estructura y navegación'!B6)</f>
        <v/>
      </c>
      <c r="B32" s="31" t="inlineStr">
        <is>
          <t>MA</t>
        </is>
      </c>
      <c r="C32" s="31" t="inlineStr">
        <is>
          <t>MO</t>
        </is>
      </c>
      <c r="D32" s="31" t="inlineStr">
        <is>
          <t>MA</t>
        </is>
      </c>
      <c r="E32" s="31" t="inlineStr">
        <is>
          <t>MA</t>
        </is>
      </c>
      <c r="F32" s="31" t="inlineStr">
        <is>
          <t>ME</t>
        </is>
      </c>
      <c r="G32" s="31" t="inlineStr">
        <is>
          <t>ME</t>
        </is>
      </c>
      <c r="H32" s="31" t="inlineStr">
        <is>
          <t>ME</t>
        </is>
      </c>
      <c r="I32" s="31" t="inlineStr">
        <is>
          <t>MA</t>
        </is>
      </c>
      <c r="J32" s="31" t="inlineStr">
        <is>
          <t>MA</t>
        </is>
      </c>
      <c r="K32" s="31" t="inlineStr">
        <is>
          <t>ME</t>
        </is>
      </c>
      <c r="L32" s="31" t="inlineStr">
        <is>
          <t>ME</t>
        </is>
      </c>
      <c r="M32" s="31" t="inlineStr">
        <is>
          <t>ME</t>
        </is>
      </c>
      <c r="N32" s="31" t="inlineStr">
        <is>
          <t>MA</t>
        </is>
      </c>
      <c r="O32" s="31" t="inlineStr">
        <is>
          <t>ME</t>
        </is>
      </c>
      <c r="P32" s="31" t="inlineStr">
        <is>
          <t>ME</t>
        </is>
      </c>
      <c r="Q32" s="31" t="inlineStr">
        <is>
          <t>ME</t>
        </is>
      </c>
    </row>
    <row r="33">
      <c r="A33" s="30">
        <f>CONCATENATE('3, Estructura y navegación'!A7,": ",'3, Estructura y navegación'!B7)</f>
        <v/>
      </c>
      <c r="B33" s="31" t="inlineStr">
        <is>
          <t>MA</t>
        </is>
      </c>
      <c r="C33" s="31" t="inlineStr">
        <is>
          <t>MO</t>
        </is>
      </c>
      <c r="D33" s="31" t="inlineStr">
        <is>
          <t>MA</t>
        </is>
      </c>
      <c r="E33" s="31" t="inlineStr">
        <is>
          <t>MA</t>
        </is>
      </c>
      <c r="F33" s="31" t="inlineStr">
        <is>
          <t>ME</t>
        </is>
      </c>
      <c r="G33" s="31" t="inlineStr">
        <is>
          <t>ME</t>
        </is>
      </c>
      <c r="H33" s="31" t="inlineStr">
        <is>
          <t>ME</t>
        </is>
      </c>
      <c r="I33" s="31" t="inlineStr">
        <is>
          <t>MA</t>
        </is>
      </c>
      <c r="J33" s="31" t="inlineStr">
        <is>
          <t>ME</t>
        </is>
      </c>
      <c r="K33" s="31" t="inlineStr">
        <is>
          <t>ME</t>
        </is>
      </c>
      <c r="L33" s="31" t="inlineStr">
        <is>
          <t>MO</t>
        </is>
      </c>
      <c r="M33" s="31" t="inlineStr">
        <is>
          <t>MO</t>
        </is>
      </c>
      <c r="N33" s="31" t="inlineStr">
        <is>
          <t>MA</t>
        </is>
      </c>
      <c r="O33" s="31" t="inlineStr">
        <is>
          <t>MO</t>
        </is>
      </c>
      <c r="P33" s="31" t="inlineStr">
        <is>
          <t>ME</t>
        </is>
      </c>
      <c r="Q33" s="31" t="inlineStr">
        <is>
          <t>ME</t>
        </is>
      </c>
    </row>
    <row r="34">
      <c r="A34" s="30">
        <f>CONCATENATE('3, Estructura y navegación'!A8,": ",'3, Estructura y navegación'!B8)</f>
        <v/>
      </c>
      <c r="B34" s="31" t="inlineStr">
        <is>
          <t>MA</t>
        </is>
      </c>
      <c r="C34" s="31" t="inlineStr">
        <is>
          <t>MA</t>
        </is>
      </c>
      <c r="D34" s="31" t="inlineStr">
        <is>
          <t>MA</t>
        </is>
      </c>
      <c r="E34" s="31" t="inlineStr">
        <is>
          <t>MA</t>
        </is>
      </c>
      <c r="F34" s="31" t="inlineStr">
        <is>
          <t>MA</t>
        </is>
      </c>
      <c r="G34" s="31" t="inlineStr">
        <is>
          <t>MA</t>
        </is>
      </c>
      <c r="H34" s="31" t="inlineStr">
        <is>
          <t>MA</t>
        </is>
      </c>
      <c r="I34" s="31" t="inlineStr">
        <is>
          <t>MA</t>
        </is>
      </c>
      <c r="J34" s="31" t="inlineStr">
        <is>
          <t>MA</t>
        </is>
      </c>
      <c r="K34" s="31" t="inlineStr">
        <is>
          <t>ME</t>
        </is>
      </c>
      <c r="L34" s="31" t="inlineStr">
        <is>
          <t>ME</t>
        </is>
      </c>
      <c r="M34" s="31" t="inlineStr">
        <is>
          <t>ME</t>
        </is>
      </c>
      <c r="N34" s="31" t="inlineStr">
        <is>
          <t>MA</t>
        </is>
      </c>
      <c r="O34" s="31" t="inlineStr">
        <is>
          <t>MA</t>
        </is>
      </c>
      <c r="P34" s="31" t="inlineStr">
        <is>
          <t>MA</t>
        </is>
      </c>
      <c r="Q34" s="31" t="inlineStr">
        <is>
          <t>MA</t>
        </is>
      </c>
    </row>
    <row r="35">
      <c r="A35" s="30">
        <f>CONCATENATE('3, Estructura y navegación'!A9,": ",'3, Estructura y navegación'!B9)</f>
        <v/>
      </c>
      <c r="B35" s="31" t="inlineStr">
        <is>
          <t>MA</t>
        </is>
      </c>
      <c r="C35" s="31" t="inlineStr">
        <is>
          <t>ME</t>
        </is>
      </c>
      <c r="D35" s="31" t="inlineStr">
        <is>
          <t>MA</t>
        </is>
      </c>
      <c r="E35" s="31" t="inlineStr">
        <is>
          <t>MA</t>
        </is>
      </c>
      <c r="F35" s="31" t="inlineStr">
        <is>
          <t>MA</t>
        </is>
      </c>
      <c r="G35" s="31" t="inlineStr">
        <is>
          <t>ME</t>
        </is>
      </c>
      <c r="H35" s="31" t="inlineStr">
        <is>
          <t>ME</t>
        </is>
      </c>
      <c r="I35" s="31" t="inlineStr">
        <is>
          <t>MA</t>
        </is>
      </c>
      <c r="J35" s="31" t="inlineStr">
        <is>
          <t>ME</t>
        </is>
      </c>
      <c r="K35" s="31" t="inlineStr">
        <is>
          <t>ME</t>
        </is>
      </c>
      <c r="L35" s="31" t="inlineStr">
        <is>
          <t>ME</t>
        </is>
      </c>
      <c r="M35" s="31" t="inlineStr">
        <is>
          <t>ME</t>
        </is>
      </c>
      <c r="N35" s="31" t="inlineStr">
        <is>
          <t>MA</t>
        </is>
      </c>
      <c r="O35" s="31" t="inlineStr">
        <is>
          <t>MA</t>
        </is>
      </c>
      <c r="P35" s="31" t="inlineStr">
        <is>
          <t>MA</t>
        </is>
      </c>
      <c r="Q35" s="31" t="inlineStr">
        <is>
          <t>ME</t>
        </is>
      </c>
    </row>
    <row r="36">
      <c r="A36" s="30">
        <f>CONCATENATE('3, Estructura y navegación'!A10,": ",'3, Estructura y navegación'!B10)</f>
        <v/>
      </c>
      <c r="B36" s="31" t="inlineStr">
        <is>
          <t>MA</t>
        </is>
      </c>
      <c r="C36" s="31" t="inlineStr">
        <is>
          <t>ME</t>
        </is>
      </c>
      <c r="D36" s="31" t="inlineStr">
        <is>
          <t>MA</t>
        </is>
      </c>
      <c r="E36" s="31" t="inlineStr">
        <is>
          <t>MA</t>
        </is>
      </c>
      <c r="F36" s="31" t="inlineStr">
        <is>
          <t>ME</t>
        </is>
      </c>
      <c r="G36" s="31" t="inlineStr">
        <is>
          <t>MA</t>
        </is>
      </c>
      <c r="H36" s="31" t="inlineStr">
        <is>
          <t>ME</t>
        </is>
      </c>
      <c r="I36" s="31" t="inlineStr">
        <is>
          <t>MA</t>
        </is>
      </c>
      <c r="J36" s="31" t="inlineStr">
        <is>
          <t>ME</t>
        </is>
      </c>
      <c r="K36" s="31" t="inlineStr">
        <is>
          <t>ME</t>
        </is>
      </c>
      <c r="L36" s="31" t="inlineStr">
        <is>
          <t>MO</t>
        </is>
      </c>
      <c r="M36" s="31" t="inlineStr">
        <is>
          <t>ME</t>
        </is>
      </c>
      <c r="N36" s="31" t="inlineStr">
        <is>
          <t>MA</t>
        </is>
      </c>
      <c r="O36" s="31" t="inlineStr">
        <is>
          <t>MO</t>
        </is>
      </c>
      <c r="P36" s="31" t="inlineStr">
        <is>
          <t>ME</t>
        </is>
      </c>
      <c r="Q36" s="31" t="inlineStr">
        <is>
          <t>ME</t>
        </is>
      </c>
    </row>
    <row r="37">
      <c r="A37" s="30">
        <f>CONCATENATE('3, Estructura y navegación'!A11,": ",'3, Estructura y navegación'!B11)</f>
        <v/>
      </c>
      <c r="B37" s="31" t="inlineStr">
        <is>
          <t>CR</t>
        </is>
      </c>
      <c r="C37" s="31" t="inlineStr">
        <is>
          <t>ME</t>
        </is>
      </c>
      <c r="D37" s="31" t="inlineStr">
        <is>
          <t>MA</t>
        </is>
      </c>
      <c r="E37" s="31" t="inlineStr">
        <is>
          <t>CR</t>
        </is>
      </c>
      <c r="F37" s="31" t="inlineStr">
        <is>
          <t>ME</t>
        </is>
      </c>
      <c r="G37" s="31" t="inlineStr">
        <is>
          <t>MA</t>
        </is>
      </c>
      <c r="H37" s="31" t="inlineStr">
        <is>
          <t>MA</t>
        </is>
      </c>
      <c r="I37" s="31" t="inlineStr">
        <is>
          <t>MA</t>
        </is>
      </c>
      <c r="J37" s="31" t="inlineStr">
        <is>
          <t>MA</t>
        </is>
      </c>
      <c r="K37" s="31" t="inlineStr">
        <is>
          <t>ME</t>
        </is>
      </c>
      <c r="L37" s="31" t="inlineStr">
        <is>
          <t>ME</t>
        </is>
      </c>
      <c r="M37" s="31" t="inlineStr">
        <is>
          <t>ME</t>
        </is>
      </c>
      <c r="N37" s="31" t="inlineStr">
        <is>
          <t>MA</t>
        </is>
      </c>
      <c r="O37" s="31" t="inlineStr">
        <is>
          <t>MO</t>
        </is>
      </c>
      <c r="P37" s="31" t="inlineStr">
        <is>
          <t>MA</t>
        </is>
      </c>
      <c r="Q37" s="31" t="inlineStr">
        <is>
          <t>MA</t>
        </is>
      </c>
    </row>
    <row r="38">
      <c r="A38" s="30">
        <f>CONCATENATE('3, Estructura y navegación'!A12,": ",'3, Estructura y navegación'!B12)</f>
        <v/>
      </c>
      <c r="B38" s="31" t="inlineStr">
        <is>
          <t>MO</t>
        </is>
      </c>
      <c r="C38" s="31" t="inlineStr">
        <is>
          <t>ME</t>
        </is>
      </c>
      <c r="D38" s="31" t="inlineStr">
        <is>
          <t>MO</t>
        </is>
      </c>
      <c r="E38" s="31" t="inlineStr">
        <is>
          <t>ME</t>
        </is>
      </c>
      <c r="F38" s="31" t="inlineStr">
        <is>
          <t>MO</t>
        </is>
      </c>
      <c r="G38" s="31" t="inlineStr">
        <is>
          <t>MO</t>
        </is>
      </c>
      <c r="H38" s="31" t="inlineStr">
        <is>
          <t>ME</t>
        </is>
      </c>
      <c r="I38" s="31" t="inlineStr">
        <is>
          <t>MO</t>
        </is>
      </c>
      <c r="J38" s="31" t="inlineStr">
        <is>
          <t>MO</t>
        </is>
      </c>
      <c r="K38" s="31" t="inlineStr">
        <is>
          <t>MO</t>
        </is>
      </c>
      <c r="L38" s="31" t="inlineStr">
        <is>
          <t>MO</t>
        </is>
      </c>
      <c r="M38" s="31" t="inlineStr">
        <is>
          <t>MO</t>
        </is>
      </c>
      <c r="N38" s="31" t="inlineStr">
        <is>
          <t>MO</t>
        </is>
      </c>
      <c r="O38" s="31" t="inlineStr">
        <is>
          <t>ME</t>
        </is>
      </c>
      <c r="P38" s="31" t="inlineStr">
        <is>
          <t>MO</t>
        </is>
      </c>
      <c r="Q38" s="31" t="inlineStr">
        <is>
          <t>ME</t>
        </is>
      </c>
    </row>
    <row r="39">
      <c r="A39" s="30">
        <f>CONCATENATE('3, Estructura y navegación'!A13,": ",'3, Estructura y navegación'!B13)</f>
        <v/>
      </c>
      <c r="B39" s="31" t="inlineStr">
        <is>
          <t>ME</t>
        </is>
      </c>
      <c r="C39" s="31" t="inlineStr">
        <is>
          <t>MA</t>
        </is>
      </c>
      <c r="D39" s="31" t="inlineStr">
        <is>
          <t>ME</t>
        </is>
      </c>
      <c r="E39" s="31" t="inlineStr">
        <is>
          <t>MA</t>
        </is>
      </c>
      <c r="F39" s="31" t="inlineStr">
        <is>
          <t>ME</t>
        </is>
      </c>
      <c r="G39" s="31" t="inlineStr">
        <is>
          <t>ME</t>
        </is>
      </c>
      <c r="H39" s="31" t="inlineStr">
        <is>
          <t>MA</t>
        </is>
      </c>
      <c r="I39" s="31" t="inlineStr">
        <is>
          <t>ME</t>
        </is>
      </c>
      <c r="J39" s="31" t="inlineStr">
        <is>
          <t>ME</t>
        </is>
      </c>
      <c r="K39" s="31" t="inlineStr">
        <is>
          <t>ME</t>
        </is>
      </c>
      <c r="L39" s="31" t="inlineStr">
        <is>
          <t>MA</t>
        </is>
      </c>
      <c r="M39" s="31" t="inlineStr">
        <is>
          <t>ME</t>
        </is>
      </c>
      <c r="N39" s="31" t="inlineStr">
        <is>
          <t>MA</t>
        </is>
      </c>
      <c r="O39" s="31" t="inlineStr">
        <is>
          <t>MA</t>
        </is>
      </c>
      <c r="P39" s="31" t="inlineStr">
        <is>
          <t>ME</t>
        </is>
      </c>
      <c r="Q39" s="31" t="inlineStr">
        <is>
          <t>MA</t>
        </is>
      </c>
    </row>
    <row r="40">
      <c r="A40" s="30">
        <f>CONCATENATE('3, Estructura y navegación'!A14,": ",'3, Estructura y navegación'!B14)</f>
        <v/>
      </c>
      <c r="B40" s="31" t="inlineStr">
        <is>
          <t>ME</t>
        </is>
      </c>
      <c r="C40" s="31" t="inlineStr">
        <is>
          <t>ME</t>
        </is>
      </c>
      <c r="D40" s="31" t="inlineStr">
        <is>
          <t>ME</t>
        </is>
      </c>
      <c r="E40" s="31" t="inlineStr">
        <is>
          <t>ME</t>
        </is>
      </c>
      <c r="F40" s="31" t="inlineStr">
        <is>
          <t>ME</t>
        </is>
      </c>
      <c r="G40" s="31" t="inlineStr">
        <is>
          <t>ME</t>
        </is>
      </c>
      <c r="H40" s="31" t="inlineStr">
        <is>
          <t>MO</t>
        </is>
      </c>
      <c r="I40" s="31" t="inlineStr">
        <is>
          <t>ME</t>
        </is>
      </c>
      <c r="J40" s="31" t="inlineStr">
        <is>
          <t>ME</t>
        </is>
      </c>
      <c r="K40" s="31" t="inlineStr">
        <is>
          <t>ME</t>
        </is>
      </c>
      <c r="L40" s="31" t="inlineStr">
        <is>
          <t>ME</t>
        </is>
      </c>
      <c r="M40" s="31" t="inlineStr">
        <is>
          <t>ME</t>
        </is>
      </c>
      <c r="N40" s="31" t="inlineStr">
        <is>
          <t>ME</t>
        </is>
      </c>
      <c r="O40" s="31" t="inlineStr">
        <is>
          <t>MA</t>
        </is>
      </c>
      <c r="P40" s="31" t="inlineStr">
        <is>
          <t>ME</t>
        </is>
      </c>
      <c r="Q40" s="31" t="inlineStr">
        <is>
          <t>ME</t>
        </is>
      </c>
    </row>
    <row r="41" ht="27.6" customHeight="1" s="3">
      <c r="A41" s="30">
        <f>CONCATENATE('3, Estructura y navegación'!A15,": ",'3, Estructura y navegación'!B15)</f>
        <v/>
      </c>
      <c r="B41" s="31" t="inlineStr">
        <is>
          <t>CR</t>
        </is>
      </c>
      <c r="C41" s="31" t="inlineStr">
        <is>
          <t>MO</t>
        </is>
      </c>
      <c r="D41" s="31" t="inlineStr">
        <is>
          <t>MA</t>
        </is>
      </c>
      <c r="E41" s="31" t="inlineStr">
        <is>
          <t>CR</t>
        </is>
      </c>
      <c r="F41" s="31" t="inlineStr">
        <is>
          <t>MA</t>
        </is>
      </c>
      <c r="G41" s="31" t="inlineStr">
        <is>
          <t>MA</t>
        </is>
      </c>
      <c r="H41" s="31" t="inlineStr">
        <is>
          <t>MA</t>
        </is>
      </c>
      <c r="I41" s="31" t="inlineStr">
        <is>
          <t>MA</t>
        </is>
      </c>
      <c r="J41" s="31" t="inlineStr">
        <is>
          <t>ME</t>
        </is>
      </c>
      <c r="K41" s="31" t="inlineStr">
        <is>
          <t>ME</t>
        </is>
      </c>
      <c r="L41" s="31" t="inlineStr">
        <is>
          <t>ME</t>
        </is>
      </c>
      <c r="M41" s="31" t="inlineStr">
        <is>
          <t>ME</t>
        </is>
      </c>
      <c r="N41" s="31" t="inlineStr">
        <is>
          <t>ME</t>
        </is>
      </c>
      <c r="O41" s="31" t="inlineStr">
        <is>
          <t>ME</t>
        </is>
      </c>
      <c r="P41" s="31" t="inlineStr">
        <is>
          <t>MA</t>
        </is>
      </c>
      <c r="Q41" s="31" t="inlineStr">
        <is>
          <t>MA</t>
        </is>
      </c>
    </row>
    <row r="42">
      <c r="A42" s="30">
        <f>CONCATENATE('3, Estructura y navegación'!A16,": ",'3, Estructura y navegación'!B16)</f>
        <v/>
      </c>
      <c r="B42" s="31" t="inlineStr">
        <is>
          <t>MA</t>
        </is>
      </c>
      <c r="C42" s="31" t="inlineStr">
        <is>
          <t>ME</t>
        </is>
      </c>
      <c r="D42" s="31" t="inlineStr">
        <is>
          <t>MA</t>
        </is>
      </c>
      <c r="E42" s="31" t="inlineStr">
        <is>
          <t>ME</t>
        </is>
      </c>
      <c r="F42" s="31" t="inlineStr">
        <is>
          <t>ME</t>
        </is>
      </c>
      <c r="G42" s="31" t="inlineStr">
        <is>
          <t>MO</t>
        </is>
      </c>
      <c r="H42" s="31" t="inlineStr">
        <is>
          <t>MO</t>
        </is>
      </c>
      <c r="I42" s="31" t="inlineStr">
        <is>
          <t>ME</t>
        </is>
      </c>
      <c r="J42" s="31" t="inlineStr">
        <is>
          <t>ME</t>
        </is>
      </c>
      <c r="K42" s="31" t="inlineStr">
        <is>
          <t>MO</t>
        </is>
      </c>
      <c r="L42" s="31" t="inlineStr">
        <is>
          <t>MO</t>
        </is>
      </c>
      <c r="M42" s="31" t="inlineStr">
        <is>
          <t>MO</t>
        </is>
      </c>
      <c r="N42" s="31" t="inlineStr">
        <is>
          <t>ME</t>
        </is>
      </c>
      <c r="O42" s="31" t="inlineStr">
        <is>
          <t>ME</t>
        </is>
      </c>
      <c r="P42" s="31" t="inlineStr">
        <is>
          <t>ME</t>
        </is>
      </c>
      <c r="Q42" s="31" t="inlineStr">
        <is>
          <t>ME</t>
        </is>
      </c>
    </row>
    <row r="43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7" t="n"/>
      <c r="N43" s="27" t="n"/>
      <c r="O43" s="27" t="n"/>
      <c r="P43" s="27" t="n"/>
      <c r="Q43" s="27" t="n"/>
    </row>
    <row r="44">
      <c r="A44" s="26" t="inlineStr">
        <is>
          <t>TABLA 6.24. RELEVANCIA DEL INCUMPLIMIENTO DE LOS CRITERIOS DE "ROTULADO"</t>
        </is>
      </c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7" t="n"/>
      <c r="N44" s="27" t="n"/>
      <c r="O44" s="27" t="n"/>
      <c r="P44" s="27" t="n"/>
      <c r="Q44" s="27" t="n"/>
    </row>
    <row r="45" ht="18" customHeight="1" s="3">
      <c r="A45" s="27" t="n"/>
      <c r="B45" s="28" t="inlineStr">
        <is>
          <t>Tipo de Sitio</t>
        </is>
      </c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</row>
    <row r="46" ht="110.4" customHeight="1" s="3">
      <c r="A46" s="28" t="inlineStr">
        <is>
          <t>Criterio</t>
        </is>
      </c>
      <c r="B46" s="29">
        <f>B$3</f>
        <v/>
      </c>
      <c r="C46" s="29">
        <f>C$3</f>
        <v/>
      </c>
      <c r="D46" s="29">
        <f>D$3</f>
        <v/>
      </c>
      <c r="E46" s="29">
        <f>E$3</f>
        <v/>
      </c>
      <c r="F46" s="29">
        <f>F$3</f>
        <v/>
      </c>
      <c r="G46" s="29">
        <f>G$3</f>
        <v/>
      </c>
      <c r="H46" s="29">
        <f>H$3</f>
        <v/>
      </c>
      <c r="I46" s="29">
        <f>I$3</f>
        <v/>
      </c>
      <c r="J46" s="29">
        <f>J$3</f>
        <v/>
      </c>
      <c r="K46" s="29">
        <f>K$3</f>
        <v/>
      </c>
      <c r="L46" s="29">
        <f>L$3</f>
        <v/>
      </c>
      <c r="M46" s="29">
        <f>M$3</f>
        <v/>
      </c>
      <c r="N46" s="29">
        <f>N$3</f>
        <v/>
      </c>
      <c r="O46" s="29">
        <f>O$3</f>
        <v/>
      </c>
      <c r="P46" s="29">
        <f>P$3</f>
        <v/>
      </c>
      <c r="Q46" s="29">
        <f>Q$3</f>
        <v/>
      </c>
    </row>
    <row r="47">
      <c r="A47" s="30">
        <f>CONCATENATE('4, Rotulado'!A3,": ",'4, Rotulado'!B3)</f>
        <v/>
      </c>
      <c r="B47" s="31" t="inlineStr">
        <is>
          <t>MA</t>
        </is>
      </c>
      <c r="C47" s="31" t="inlineStr">
        <is>
          <t>ME</t>
        </is>
      </c>
      <c r="D47" s="31" t="inlineStr">
        <is>
          <t>MA</t>
        </is>
      </c>
      <c r="E47" s="31" t="inlineStr">
        <is>
          <t>MA</t>
        </is>
      </c>
      <c r="F47" s="31" t="inlineStr">
        <is>
          <t>ME</t>
        </is>
      </c>
      <c r="G47" s="31" t="inlineStr">
        <is>
          <t>ME</t>
        </is>
      </c>
      <c r="H47" s="31" t="inlineStr">
        <is>
          <t>ME</t>
        </is>
      </c>
      <c r="I47" s="31" t="inlineStr">
        <is>
          <t>ME</t>
        </is>
      </c>
      <c r="J47" s="31" t="inlineStr">
        <is>
          <t>ME</t>
        </is>
      </c>
      <c r="K47" s="31" t="inlineStr">
        <is>
          <t>ME</t>
        </is>
      </c>
      <c r="L47" s="31" t="inlineStr">
        <is>
          <t>MO</t>
        </is>
      </c>
      <c r="M47" s="31" t="inlineStr">
        <is>
          <t>ME</t>
        </is>
      </c>
      <c r="N47" s="31" t="inlineStr">
        <is>
          <t>ME</t>
        </is>
      </c>
      <c r="O47" s="31" t="inlineStr">
        <is>
          <t>MA</t>
        </is>
      </c>
      <c r="P47" s="31" t="inlineStr">
        <is>
          <t>ME</t>
        </is>
      </c>
      <c r="Q47" s="31" t="inlineStr">
        <is>
          <t>ME</t>
        </is>
      </c>
    </row>
    <row r="48">
      <c r="A48" s="30">
        <f>CONCATENATE('4, Rotulado'!A4,": ",'4, Rotulado'!B4)</f>
        <v/>
      </c>
      <c r="B48" s="31" t="inlineStr">
        <is>
          <t>ME</t>
        </is>
      </c>
      <c r="C48" s="31" t="inlineStr">
        <is>
          <t>MO</t>
        </is>
      </c>
      <c r="D48" s="31" t="inlineStr">
        <is>
          <t>MA</t>
        </is>
      </c>
      <c r="E48" s="31" t="inlineStr">
        <is>
          <t>MA</t>
        </is>
      </c>
      <c r="F48" s="31" t="inlineStr">
        <is>
          <t>ME</t>
        </is>
      </c>
      <c r="G48" s="31" t="inlineStr">
        <is>
          <t>ME</t>
        </is>
      </c>
      <c r="H48" s="31" t="inlineStr">
        <is>
          <t>ME</t>
        </is>
      </c>
      <c r="I48" s="31" t="inlineStr">
        <is>
          <t>ME</t>
        </is>
      </c>
      <c r="J48" s="31" t="inlineStr">
        <is>
          <t>ME</t>
        </is>
      </c>
      <c r="K48" s="31" t="inlineStr">
        <is>
          <t>MO</t>
        </is>
      </c>
      <c r="L48" s="31" t="inlineStr">
        <is>
          <t>MO</t>
        </is>
      </c>
      <c r="M48" s="31" t="inlineStr">
        <is>
          <t>MO</t>
        </is>
      </c>
      <c r="N48" s="31" t="inlineStr">
        <is>
          <t>MA</t>
        </is>
      </c>
      <c r="O48" s="31" t="inlineStr">
        <is>
          <t>ME</t>
        </is>
      </c>
      <c r="P48" s="31" t="inlineStr">
        <is>
          <t>MA</t>
        </is>
      </c>
      <c r="Q48" s="31" t="inlineStr">
        <is>
          <t>ME</t>
        </is>
      </c>
    </row>
    <row r="49">
      <c r="A49" s="30">
        <f>CONCATENATE('4, Rotulado'!A5,": ",'4, Rotulado'!B5)</f>
        <v/>
      </c>
      <c r="B49" s="31" t="inlineStr">
        <is>
          <t>MA</t>
        </is>
      </c>
      <c r="C49" s="31" t="inlineStr">
        <is>
          <t>ME</t>
        </is>
      </c>
      <c r="D49" s="31" t="inlineStr">
        <is>
          <t>MA</t>
        </is>
      </c>
      <c r="E49" s="31" t="inlineStr">
        <is>
          <t>MA</t>
        </is>
      </c>
      <c r="F49" s="31" t="inlineStr">
        <is>
          <t>ME</t>
        </is>
      </c>
      <c r="G49" s="31" t="inlineStr">
        <is>
          <t>ME</t>
        </is>
      </c>
      <c r="H49" s="31" t="inlineStr">
        <is>
          <t>ME</t>
        </is>
      </c>
      <c r="I49" s="31" t="inlineStr">
        <is>
          <t>ME</t>
        </is>
      </c>
      <c r="J49" s="31" t="inlineStr">
        <is>
          <t>ME</t>
        </is>
      </c>
      <c r="K49" s="31" t="inlineStr">
        <is>
          <t>MO</t>
        </is>
      </c>
      <c r="L49" s="31" t="inlineStr">
        <is>
          <t>MO</t>
        </is>
      </c>
      <c r="M49" s="31" t="inlineStr">
        <is>
          <t>ME</t>
        </is>
      </c>
      <c r="N49" s="31" t="inlineStr">
        <is>
          <t>MA</t>
        </is>
      </c>
      <c r="O49" s="31" t="inlineStr">
        <is>
          <t>MO</t>
        </is>
      </c>
      <c r="P49" s="31" t="inlineStr">
        <is>
          <t>ME</t>
        </is>
      </c>
      <c r="Q49" s="31" t="inlineStr">
        <is>
          <t>MO</t>
        </is>
      </c>
    </row>
    <row r="50">
      <c r="A50" s="30">
        <f>CONCATENATE('4, Rotulado'!A6,": ",'4, Rotulado'!B6)</f>
        <v/>
      </c>
      <c r="B50" s="31" t="inlineStr">
        <is>
          <t>ME</t>
        </is>
      </c>
      <c r="C50" s="31" t="inlineStr">
        <is>
          <t>ME</t>
        </is>
      </c>
      <c r="D50" s="31" t="inlineStr">
        <is>
          <t>ME</t>
        </is>
      </c>
      <c r="E50" s="31" t="inlineStr">
        <is>
          <t>ME</t>
        </is>
      </c>
      <c r="F50" s="31" t="inlineStr">
        <is>
          <t>MO</t>
        </is>
      </c>
      <c r="G50" s="31" t="inlineStr">
        <is>
          <t>ME</t>
        </is>
      </c>
      <c r="H50" s="31" t="inlineStr">
        <is>
          <t>MO</t>
        </is>
      </c>
      <c r="I50" s="31" t="inlineStr">
        <is>
          <t>MO</t>
        </is>
      </c>
      <c r="J50" s="31" t="inlineStr">
        <is>
          <t>MO</t>
        </is>
      </c>
      <c r="K50" s="31" t="inlineStr">
        <is>
          <t>MO</t>
        </is>
      </c>
      <c r="L50" s="31" t="inlineStr">
        <is>
          <t>MO</t>
        </is>
      </c>
      <c r="M50" s="31" t="inlineStr">
        <is>
          <t>ME</t>
        </is>
      </c>
      <c r="N50" s="31" t="inlineStr">
        <is>
          <t>ME</t>
        </is>
      </c>
      <c r="O50" s="31" t="inlineStr">
        <is>
          <t>ME</t>
        </is>
      </c>
      <c r="P50" s="31" t="inlineStr">
        <is>
          <t>ME</t>
        </is>
      </c>
      <c r="Q50" s="31" t="inlineStr">
        <is>
          <t>ME</t>
        </is>
      </c>
    </row>
    <row r="51">
      <c r="A51" s="30">
        <f>CONCATENATE('4, Rotulado'!A7,": ",'4, Rotulado'!B7)</f>
        <v/>
      </c>
      <c r="B51" s="31" t="inlineStr">
        <is>
          <t>ME</t>
        </is>
      </c>
      <c r="C51" s="31" t="inlineStr">
        <is>
          <t>MO</t>
        </is>
      </c>
      <c r="D51" s="31" t="inlineStr">
        <is>
          <t>ME</t>
        </is>
      </c>
      <c r="E51" s="31" t="inlineStr">
        <is>
          <t>ME</t>
        </is>
      </c>
      <c r="F51" s="31" t="inlineStr">
        <is>
          <t>ME</t>
        </is>
      </c>
      <c r="G51" s="31" t="inlineStr">
        <is>
          <t>ME</t>
        </is>
      </c>
      <c r="H51" s="31" t="inlineStr">
        <is>
          <t>ME</t>
        </is>
      </c>
      <c r="I51" s="31" t="inlineStr">
        <is>
          <t>ME</t>
        </is>
      </c>
      <c r="J51" s="31" t="inlineStr">
        <is>
          <t>ME</t>
        </is>
      </c>
      <c r="K51" s="31" t="inlineStr">
        <is>
          <t>ME</t>
        </is>
      </c>
      <c r="L51" s="31" t="inlineStr">
        <is>
          <t>ME</t>
        </is>
      </c>
      <c r="M51" s="31" t="inlineStr">
        <is>
          <t>ME</t>
        </is>
      </c>
      <c r="N51" s="31" t="inlineStr">
        <is>
          <t>ME</t>
        </is>
      </c>
      <c r="O51" s="31" t="inlineStr">
        <is>
          <t>ME</t>
        </is>
      </c>
      <c r="P51" s="31" t="inlineStr">
        <is>
          <t>ME</t>
        </is>
      </c>
      <c r="Q51" s="31" t="inlineStr">
        <is>
          <t>ME</t>
        </is>
      </c>
    </row>
    <row r="52">
      <c r="A52" s="30">
        <f>CONCATENATE('4, Rotulado'!A8,": ",'4, Rotulado'!B8)</f>
        <v/>
      </c>
      <c r="B52" s="31" t="inlineStr">
        <is>
          <t>ME</t>
        </is>
      </c>
      <c r="C52" s="31" t="inlineStr">
        <is>
          <t>MO</t>
        </is>
      </c>
      <c r="D52" s="31" t="inlineStr">
        <is>
          <t>MA</t>
        </is>
      </c>
      <c r="E52" s="31" t="inlineStr">
        <is>
          <t>MA</t>
        </is>
      </c>
      <c r="F52" s="31" t="inlineStr">
        <is>
          <t>MO</t>
        </is>
      </c>
      <c r="G52" s="31" t="inlineStr">
        <is>
          <t>ME</t>
        </is>
      </c>
      <c r="H52" s="31" t="inlineStr">
        <is>
          <t>MO</t>
        </is>
      </c>
      <c r="I52" s="31" t="inlineStr">
        <is>
          <t>ME</t>
        </is>
      </c>
      <c r="J52" s="31" t="inlineStr">
        <is>
          <t>ME</t>
        </is>
      </c>
      <c r="K52" s="31" t="inlineStr">
        <is>
          <t>ME</t>
        </is>
      </c>
      <c r="L52" s="31" t="inlineStr">
        <is>
          <t>ME</t>
        </is>
      </c>
      <c r="M52" s="31" t="inlineStr">
        <is>
          <t>MO</t>
        </is>
      </c>
      <c r="N52" s="31" t="inlineStr">
        <is>
          <t>ME</t>
        </is>
      </c>
      <c r="O52" s="31" t="inlineStr">
        <is>
          <t>ME</t>
        </is>
      </c>
      <c r="P52" s="31" t="inlineStr">
        <is>
          <t>MO</t>
        </is>
      </c>
      <c r="Q52" s="31" t="inlineStr">
        <is>
          <t>ME</t>
        </is>
      </c>
    </row>
    <row r="53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7" t="n"/>
      <c r="N53" s="27" t="n"/>
      <c r="O53" s="27" t="n"/>
      <c r="P53" s="27" t="n"/>
      <c r="Q53" s="27" t="n"/>
    </row>
    <row r="54">
      <c r="A54" s="26" t="inlineStr">
        <is>
          <t>TABLA 6.25. RELEVANCIA DEL INCUMPLIMIENTO DE LOS CRITERIOS DE "LAYOUT"</t>
        </is>
      </c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7" t="n"/>
      <c r="N54" s="27" t="n"/>
      <c r="O54" s="27" t="n"/>
      <c r="P54" s="27" t="n"/>
      <c r="Q54" s="27" t="n"/>
    </row>
    <row r="55" ht="18" customHeight="1" s="3">
      <c r="A55" s="27" t="n"/>
      <c r="B55" s="28" t="inlineStr">
        <is>
          <t>Tipo de Sitio</t>
        </is>
      </c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7" t="n"/>
      <c r="N55" s="27" t="n"/>
      <c r="O55" s="27" t="n"/>
      <c r="P55" s="27" t="n"/>
      <c r="Q55" s="27" t="n"/>
    </row>
    <row r="56" ht="110.4" customHeight="1" s="3">
      <c r="A56" s="28" t="inlineStr">
        <is>
          <t>Criterio</t>
        </is>
      </c>
      <c r="B56" s="29">
        <f>B$3</f>
        <v/>
      </c>
      <c r="C56" s="29">
        <f>C$3</f>
        <v/>
      </c>
      <c r="D56" s="29">
        <f>D$3</f>
        <v/>
      </c>
      <c r="E56" s="29">
        <f>E$3</f>
        <v/>
      </c>
      <c r="F56" s="29">
        <f>F$3</f>
        <v/>
      </c>
      <c r="G56" s="29">
        <f>G$3</f>
        <v/>
      </c>
      <c r="H56" s="29">
        <f>H$3</f>
        <v/>
      </c>
      <c r="I56" s="29">
        <f>I$3</f>
        <v/>
      </c>
      <c r="J56" s="29">
        <f>J$3</f>
        <v/>
      </c>
      <c r="K56" s="29">
        <f>K$3</f>
        <v/>
      </c>
      <c r="L56" s="29">
        <f>L$3</f>
        <v/>
      </c>
      <c r="M56" s="29">
        <f>M$3</f>
        <v/>
      </c>
      <c r="N56" s="29">
        <f>N$3</f>
        <v/>
      </c>
      <c r="O56" s="29">
        <f>O$3</f>
        <v/>
      </c>
      <c r="P56" s="29">
        <f>P$3</f>
        <v/>
      </c>
      <c r="Q56" s="29">
        <f>Q$3</f>
        <v/>
      </c>
    </row>
    <row r="57" ht="24.75" customHeight="1" s="3">
      <c r="A57" s="30">
        <f>CONCATENATE('5, Layout de la página'!A3,": ",'5, Layout de la página'!B3)</f>
        <v/>
      </c>
      <c r="B57" s="31" t="inlineStr">
        <is>
          <t>MA</t>
        </is>
      </c>
      <c r="C57" s="31" t="inlineStr">
        <is>
          <t>MO</t>
        </is>
      </c>
      <c r="D57" s="31" t="inlineStr">
        <is>
          <t>MA</t>
        </is>
      </c>
      <c r="E57" s="31" t="inlineStr">
        <is>
          <t>MA</t>
        </is>
      </c>
      <c r="F57" s="31" t="inlineStr">
        <is>
          <t>MA</t>
        </is>
      </c>
      <c r="G57" s="31" t="inlineStr">
        <is>
          <t>ME</t>
        </is>
      </c>
      <c r="H57" s="31" t="inlineStr">
        <is>
          <t>MO</t>
        </is>
      </c>
      <c r="I57" s="31" t="inlineStr">
        <is>
          <t>ME</t>
        </is>
      </c>
      <c r="J57" s="31" t="inlineStr">
        <is>
          <t>ME</t>
        </is>
      </c>
      <c r="K57" s="31" t="inlineStr">
        <is>
          <t>MO</t>
        </is>
      </c>
      <c r="L57" s="31" t="inlineStr">
        <is>
          <t>MO</t>
        </is>
      </c>
      <c r="M57" s="31" t="inlineStr">
        <is>
          <t>ME</t>
        </is>
      </c>
      <c r="N57" s="31" t="inlineStr">
        <is>
          <t>ME</t>
        </is>
      </c>
      <c r="O57" s="31" t="inlineStr">
        <is>
          <t>MO</t>
        </is>
      </c>
      <c r="P57" s="31" t="inlineStr">
        <is>
          <t>ME</t>
        </is>
      </c>
      <c r="Q57" s="31" t="inlineStr">
        <is>
          <t>ME</t>
        </is>
      </c>
    </row>
    <row r="58">
      <c r="A58" s="30">
        <f>CONCATENATE('5, Layout de la página'!A4,": ",'5, Layout de la página'!B4)</f>
        <v/>
      </c>
      <c r="B58" s="31" t="inlineStr">
        <is>
          <t>ME</t>
        </is>
      </c>
      <c r="C58" s="31" t="inlineStr">
        <is>
          <t>ME</t>
        </is>
      </c>
      <c r="D58" s="31" t="inlineStr">
        <is>
          <t>ME</t>
        </is>
      </c>
      <c r="E58" s="31" t="inlineStr">
        <is>
          <t>ME</t>
        </is>
      </c>
      <c r="F58" s="31" t="inlineStr">
        <is>
          <t>ME</t>
        </is>
      </c>
      <c r="G58" s="31" t="inlineStr">
        <is>
          <t>ME</t>
        </is>
      </c>
      <c r="H58" s="31" t="inlineStr">
        <is>
          <t>MO</t>
        </is>
      </c>
      <c r="I58" s="31" t="inlineStr">
        <is>
          <t>ME</t>
        </is>
      </c>
      <c r="J58" s="31" t="inlineStr">
        <is>
          <t>ME</t>
        </is>
      </c>
      <c r="K58" s="31" t="inlineStr">
        <is>
          <t>MO</t>
        </is>
      </c>
      <c r="L58" s="31" t="inlineStr">
        <is>
          <t>MO</t>
        </is>
      </c>
      <c r="M58" s="31" t="inlineStr">
        <is>
          <t>ME</t>
        </is>
      </c>
      <c r="N58" s="31" t="inlineStr">
        <is>
          <t>ME</t>
        </is>
      </c>
      <c r="O58" s="31" t="inlineStr">
        <is>
          <t>MA</t>
        </is>
      </c>
      <c r="P58" s="31" t="inlineStr">
        <is>
          <t>ME</t>
        </is>
      </c>
      <c r="Q58" s="31" t="inlineStr">
        <is>
          <t>ME</t>
        </is>
      </c>
    </row>
    <row r="59">
      <c r="A59" s="30">
        <f>CONCATENATE('5, Layout de la página'!A5,": ",'5, Layout de la página'!B5)</f>
        <v/>
      </c>
      <c r="B59" s="31" t="inlineStr">
        <is>
          <t>MA</t>
        </is>
      </c>
      <c r="C59" s="31" t="inlineStr">
        <is>
          <t>ME</t>
        </is>
      </c>
      <c r="D59" s="31" t="inlineStr">
        <is>
          <t>MA</t>
        </is>
      </c>
      <c r="E59" s="31" t="inlineStr">
        <is>
          <t>MA</t>
        </is>
      </c>
      <c r="F59" s="31" t="inlineStr">
        <is>
          <t>MA</t>
        </is>
      </c>
      <c r="G59" s="31" t="inlineStr">
        <is>
          <t>MA</t>
        </is>
      </c>
      <c r="H59" s="31" t="inlineStr">
        <is>
          <t>MO</t>
        </is>
      </c>
      <c r="I59" s="31" t="inlineStr">
        <is>
          <t>ME</t>
        </is>
      </c>
      <c r="J59" s="31" t="inlineStr">
        <is>
          <t>ME</t>
        </is>
      </c>
      <c r="K59" s="31" t="inlineStr">
        <is>
          <t>ME</t>
        </is>
      </c>
      <c r="L59" s="31" t="inlineStr">
        <is>
          <t>MO</t>
        </is>
      </c>
      <c r="M59" s="31" t="inlineStr">
        <is>
          <t>ME</t>
        </is>
      </c>
      <c r="N59" s="31" t="inlineStr">
        <is>
          <t>MA</t>
        </is>
      </c>
      <c r="O59" s="31" t="inlineStr">
        <is>
          <t>MA</t>
        </is>
      </c>
      <c r="P59" s="31" t="inlineStr">
        <is>
          <t>ME</t>
        </is>
      </c>
      <c r="Q59" s="31" t="inlineStr">
        <is>
          <t>ME</t>
        </is>
      </c>
    </row>
    <row r="60" ht="27.6" customHeight="1" s="3">
      <c r="A60" s="30">
        <f>CONCATENATE('5, Layout de la página'!A6,": ",'5, Layout de la página'!B6)</f>
        <v/>
      </c>
      <c r="B60" s="31" t="inlineStr">
        <is>
          <t>MA</t>
        </is>
      </c>
      <c r="C60" s="31" t="inlineStr">
        <is>
          <t>ME</t>
        </is>
      </c>
      <c r="D60" s="31" t="inlineStr">
        <is>
          <t>ME</t>
        </is>
      </c>
      <c r="E60" s="31" t="inlineStr">
        <is>
          <t>ME</t>
        </is>
      </c>
      <c r="F60" s="31" t="inlineStr">
        <is>
          <t>MA</t>
        </is>
      </c>
      <c r="G60" s="31" t="inlineStr">
        <is>
          <t>ME</t>
        </is>
      </c>
      <c r="H60" s="31" t="inlineStr">
        <is>
          <t>MO</t>
        </is>
      </c>
      <c r="I60" s="31" t="inlineStr">
        <is>
          <t>ME</t>
        </is>
      </c>
      <c r="J60" s="31" t="inlineStr">
        <is>
          <t>ME</t>
        </is>
      </c>
      <c r="K60" s="31" t="inlineStr">
        <is>
          <t>ME</t>
        </is>
      </c>
      <c r="L60" s="31" t="inlineStr">
        <is>
          <t>MO</t>
        </is>
      </c>
      <c r="M60" s="31" t="inlineStr">
        <is>
          <t>ME</t>
        </is>
      </c>
      <c r="N60" s="31" t="inlineStr">
        <is>
          <t>ME</t>
        </is>
      </c>
      <c r="O60" s="31" t="inlineStr">
        <is>
          <t>ME</t>
        </is>
      </c>
      <c r="P60" s="31" t="inlineStr">
        <is>
          <t>ME</t>
        </is>
      </c>
      <c r="Q60" s="31" t="inlineStr">
        <is>
          <t>ME</t>
        </is>
      </c>
    </row>
    <row r="61">
      <c r="A61" s="30">
        <f>CONCATENATE('5, Layout de la página'!A7,": ",'5, Layout de la página'!B7)</f>
        <v/>
      </c>
      <c r="B61" s="31" t="inlineStr">
        <is>
          <t>ME</t>
        </is>
      </c>
      <c r="C61" s="31" t="inlineStr">
        <is>
          <t>ME</t>
        </is>
      </c>
      <c r="D61" s="31" t="inlineStr">
        <is>
          <t>MA</t>
        </is>
      </c>
      <c r="E61" s="31" t="inlineStr">
        <is>
          <t>MA</t>
        </is>
      </c>
      <c r="F61" s="31" t="inlineStr">
        <is>
          <t>MA</t>
        </is>
      </c>
      <c r="G61" s="31" t="inlineStr">
        <is>
          <t>MA</t>
        </is>
      </c>
      <c r="H61" s="31" t="inlineStr">
        <is>
          <t>MO</t>
        </is>
      </c>
      <c r="I61" s="31" t="inlineStr">
        <is>
          <t>ME</t>
        </is>
      </c>
      <c r="J61" s="31" t="inlineStr">
        <is>
          <t>ME</t>
        </is>
      </c>
      <c r="K61" s="31" t="inlineStr">
        <is>
          <t>ME</t>
        </is>
      </c>
      <c r="L61" s="31" t="inlineStr">
        <is>
          <t>ME</t>
        </is>
      </c>
      <c r="M61" s="31" t="inlineStr">
        <is>
          <t>ME</t>
        </is>
      </c>
      <c r="N61" s="31" t="inlineStr">
        <is>
          <t>MA</t>
        </is>
      </c>
      <c r="O61" s="31" t="inlineStr">
        <is>
          <t>ME</t>
        </is>
      </c>
      <c r="P61" s="31" t="inlineStr">
        <is>
          <t>MA</t>
        </is>
      </c>
      <c r="Q61" s="31" t="inlineStr">
        <is>
          <t>ME</t>
        </is>
      </c>
    </row>
    <row r="62" ht="27.6" customHeight="1" s="3">
      <c r="A62" s="30">
        <f>CONCATENATE('5, Layout de la página'!A8,": ",'5, Layout de la página'!B8)</f>
        <v/>
      </c>
      <c r="B62" s="31" t="inlineStr">
        <is>
          <t>MA</t>
        </is>
      </c>
      <c r="C62" s="31" t="inlineStr">
        <is>
          <t>ME</t>
        </is>
      </c>
      <c r="D62" s="31" t="inlineStr">
        <is>
          <t>MA</t>
        </is>
      </c>
      <c r="E62" s="31" t="inlineStr">
        <is>
          <t>MA</t>
        </is>
      </c>
      <c r="F62" s="31" t="inlineStr">
        <is>
          <t>MA</t>
        </is>
      </c>
      <c r="G62" s="31" t="inlineStr">
        <is>
          <t>ME</t>
        </is>
      </c>
      <c r="H62" s="31" t="inlineStr">
        <is>
          <t>MO</t>
        </is>
      </c>
      <c r="I62" s="31" t="inlineStr">
        <is>
          <t>ME</t>
        </is>
      </c>
      <c r="J62" s="31" t="inlineStr">
        <is>
          <t>MA</t>
        </is>
      </c>
      <c r="K62" s="31" t="inlineStr">
        <is>
          <t>MA</t>
        </is>
      </c>
      <c r="L62" s="31" t="inlineStr">
        <is>
          <t>MO</t>
        </is>
      </c>
      <c r="M62" s="31" t="inlineStr">
        <is>
          <t>ME</t>
        </is>
      </c>
      <c r="N62" s="31" t="inlineStr">
        <is>
          <t>MA</t>
        </is>
      </c>
      <c r="O62" s="31" t="inlineStr">
        <is>
          <t>ME</t>
        </is>
      </c>
      <c r="P62" s="31" t="inlineStr">
        <is>
          <t>ME</t>
        </is>
      </c>
      <c r="Q62" s="31" t="inlineStr">
        <is>
          <t>ME</t>
        </is>
      </c>
    </row>
    <row r="63">
      <c r="A63" s="30">
        <f>CONCATENATE('5, Layout de la página'!A9,": ",'5, Layout de la página'!B9)</f>
        <v/>
      </c>
      <c r="B63" s="31" t="inlineStr">
        <is>
          <t>ME</t>
        </is>
      </c>
      <c r="C63" s="31" t="inlineStr">
        <is>
          <t>MO</t>
        </is>
      </c>
      <c r="D63" s="31" t="inlineStr">
        <is>
          <t>ME</t>
        </is>
      </c>
      <c r="E63" s="31" t="inlineStr">
        <is>
          <t>ME</t>
        </is>
      </c>
      <c r="F63" s="31" t="inlineStr">
        <is>
          <t>ME</t>
        </is>
      </c>
      <c r="G63" s="31" t="inlineStr">
        <is>
          <t>ME</t>
        </is>
      </c>
      <c r="H63" s="31" t="inlineStr">
        <is>
          <t>MO</t>
        </is>
      </c>
      <c r="I63" s="31" t="inlineStr">
        <is>
          <t>ME</t>
        </is>
      </c>
      <c r="J63" s="31" t="inlineStr">
        <is>
          <t>ME</t>
        </is>
      </c>
      <c r="K63" s="31" t="inlineStr">
        <is>
          <t>MO</t>
        </is>
      </c>
      <c r="L63" s="31" t="inlineStr">
        <is>
          <t>MO</t>
        </is>
      </c>
      <c r="M63" s="31" t="inlineStr">
        <is>
          <t>ME</t>
        </is>
      </c>
      <c r="N63" s="31" t="inlineStr">
        <is>
          <t>ME</t>
        </is>
      </c>
      <c r="O63" s="31" t="inlineStr">
        <is>
          <t>ME</t>
        </is>
      </c>
      <c r="P63" s="31" t="inlineStr">
        <is>
          <t>ME</t>
        </is>
      </c>
      <c r="Q63" s="31" t="inlineStr">
        <is>
          <t>MO</t>
        </is>
      </c>
    </row>
    <row r="64">
      <c r="A64" s="30">
        <f>CONCATENATE('5, Layout de la página'!A10,": ",'5, Layout de la página'!B10)</f>
        <v/>
      </c>
      <c r="B64" s="31" t="inlineStr">
        <is>
          <t>MA</t>
        </is>
      </c>
      <c r="C64" s="31" t="inlineStr">
        <is>
          <t>ME</t>
        </is>
      </c>
      <c r="D64" s="31" t="inlineStr">
        <is>
          <t>MA</t>
        </is>
      </c>
      <c r="E64" s="31" t="inlineStr">
        <is>
          <t>MA</t>
        </is>
      </c>
      <c r="F64" s="31" t="inlineStr">
        <is>
          <t>ME</t>
        </is>
      </c>
      <c r="G64" s="31" t="inlineStr">
        <is>
          <t>ME</t>
        </is>
      </c>
      <c r="H64" s="31" t="inlineStr">
        <is>
          <t>MO</t>
        </is>
      </c>
      <c r="I64" s="31" t="inlineStr">
        <is>
          <t>MA</t>
        </is>
      </c>
      <c r="J64" s="31" t="inlineStr">
        <is>
          <t>ME</t>
        </is>
      </c>
      <c r="K64" s="31" t="inlineStr">
        <is>
          <t>MO</t>
        </is>
      </c>
      <c r="L64" s="31" t="inlineStr">
        <is>
          <t>MO</t>
        </is>
      </c>
      <c r="M64" s="31" t="inlineStr">
        <is>
          <t>ME</t>
        </is>
      </c>
      <c r="N64" s="31" t="inlineStr">
        <is>
          <t>MO</t>
        </is>
      </c>
      <c r="O64" s="31" t="inlineStr">
        <is>
          <t>MA</t>
        </is>
      </c>
      <c r="P64" s="31" t="inlineStr">
        <is>
          <t>MO</t>
        </is>
      </c>
      <c r="Q64" s="31" t="inlineStr">
        <is>
          <t>MA</t>
        </is>
      </c>
    </row>
    <row r="65">
      <c r="A65" s="30">
        <f>CONCATENATE('5, Layout de la página'!A11,": ",'5, Layout de la página'!B11)</f>
        <v/>
      </c>
      <c r="B65" s="31" t="inlineStr">
        <is>
          <t>CR</t>
        </is>
      </c>
      <c r="C65" s="31" t="inlineStr">
        <is>
          <t>ME</t>
        </is>
      </c>
      <c r="D65" s="31" t="inlineStr">
        <is>
          <t>MA</t>
        </is>
      </c>
      <c r="E65" s="31" t="inlineStr">
        <is>
          <t>CR</t>
        </is>
      </c>
      <c r="F65" s="31" t="inlineStr">
        <is>
          <t>CR</t>
        </is>
      </c>
      <c r="G65" s="31" t="inlineStr">
        <is>
          <t>MA</t>
        </is>
      </c>
      <c r="H65" s="31" t="inlineStr">
        <is>
          <t>ME</t>
        </is>
      </c>
      <c r="I65" s="31" t="inlineStr">
        <is>
          <t>MA</t>
        </is>
      </c>
      <c r="J65" s="31" t="inlineStr">
        <is>
          <t>MA</t>
        </is>
      </c>
      <c r="K65" s="31" t="inlineStr">
        <is>
          <t>MA</t>
        </is>
      </c>
      <c r="L65" s="31" t="inlineStr">
        <is>
          <t>ME</t>
        </is>
      </c>
      <c r="M65" s="31" t="inlineStr">
        <is>
          <t>MA</t>
        </is>
      </c>
      <c r="N65" s="31" t="inlineStr">
        <is>
          <t>MA</t>
        </is>
      </c>
      <c r="O65" s="31" t="inlineStr">
        <is>
          <t>MA</t>
        </is>
      </c>
      <c r="P65" s="31" t="inlineStr">
        <is>
          <t>MA</t>
        </is>
      </c>
      <c r="Q65" s="31" t="inlineStr">
        <is>
          <t>MA</t>
        </is>
      </c>
    </row>
    <row r="66">
      <c r="A66" s="30">
        <f>CONCATENATE('5, Layout de la página'!A12,": ",'5, Layout de la página'!B12)</f>
        <v/>
      </c>
      <c r="B66" s="31" t="inlineStr">
        <is>
          <t>MA</t>
        </is>
      </c>
      <c r="C66" s="31" t="inlineStr">
        <is>
          <t>MA</t>
        </is>
      </c>
      <c r="D66" s="31" t="inlineStr">
        <is>
          <t>MO</t>
        </is>
      </c>
      <c r="E66" s="31" t="inlineStr">
        <is>
          <t>ME</t>
        </is>
      </c>
      <c r="F66" s="31" t="inlineStr">
        <is>
          <t>MA</t>
        </is>
      </c>
      <c r="G66" s="31" t="inlineStr">
        <is>
          <t>MO</t>
        </is>
      </c>
      <c r="H66" s="31" t="inlineStr">
        <is>
          <t>ME</t>
        </is>
      </c>
      <c r="I66" s="31" t="inlineStr">
        <is>
          <t>ME</t>
        </is>
      </c>
      <c r="J66" s="31" t="inlineStr">
        <is>
          <t>ME</t>
        </is>
      </c>
      <c r="K66" s="31" t="inlineStr">
        <is>
          <t>MO</t>
        </is>
      </c>
      <c r="L66" s="31" t="inlineStr">
        <is>
          <t>MO</t>
        </is>
      </c>
      <c r="M66" s="31" t="inlineStr">
        <is>
          <t>MO</t>
        </is>
      </c>
      <c r="N66" s="31" t="inlineStr">
        <is>
          <t>MO</t>
        </is>
      </c>
      <c r="O66" s="31" t="inlineStr">
        <is>
          <t>ME</t>
        </is>
      </c>
      <c r="P66" s="31" t="inlineStr">
        <is>
          <t>ME</t>
        </is>
      </c>
      <c r="Q66" s="31" t="inlineStr">
        <is>
          <t>ME</t>
        </is>
      </c>
    </row>
    <row r="67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27" t="n"/>
      <c r="P67" s="27" t="n"/>
      <c r="Q67" s="27" t="n"/>
    </row>
    <row r="68">
      <c r="A68" s="26" t="inlineStr">
        <is>
          <t>TABLA 6.26. RELEVANCIA DEL INCUMPLIMIENTO DE LOS CRITERIOS DE "ENTENDIBILIDAD Y FACILIDAD EN LA INTERACCIÓN”</t>
        </is>
      </c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7" t="n"/>
      <c r="N68" s="27" t="n"/>
      <c r="O68" s="27" t="n"/>
      <c r="P68" s="27" t="n"/>
      <c r="Q68" s="27" t="n"/>
    </row>
    <row r="69" ht="18" customHeight="1" s="3">
      <c r="A69" s="26" t="n"/>
      <c r="B69" s="28" t="inlineStr">
        <is>
          <t>Tipo de Sitio</t>
        </is>
      </c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7" t="n"/>
      <c r="N69" s="27" t="n"/>
      <c r="O69" s="27" t="n"/>
      <c r="P69" s="27" t="n"/>
      <c r="Q69" s="27" t="n"/>
    </row>
    <row r="70" ht="110.4" customHeight="1" s="3">
      <c r="A70" s="28" t="inlineStr">
        <is>
          <t>Criterio</t>
        </is>
      </c>
      <c r="B70" s="29">
        <f>B$3</f>
        <v/>
      </c>
      <c r="C70" s="29">
        <f>C$3</f>
        <v/>
      </c>
      <c r="D70" s="29">
        <f>D$3</f>
        <v/>
      </c>
      <c r="E70" s="29">
        <f>E$3</f>
        <v/>
      </c>
      <c r="F70" s="29">
        <f>F$3</f>
        <v/>
      </c>
      <c r="G70" s="29">
        <f>G$3</f>
        <v/>
      </c>
      <c r="H70" s="29">
        <f>H$3</f>
        <v/>
      </c>
      <c r="I70" s="29">
        <f>I$3</f>
        <v/>
      </c>
      <c r="J70" s="29">
        <f>J$3</f>
        <v/>
      </c>
      <c r="K70" s="29">
        <f>K$3</f>
        <v/>
      </c>
      <c r="L70" s="29">
        <f>L$3</f>
        <v/>
      </c>
      <c r="M70" s="29">
        <f>M$3</f>
        <v/>
      </c>
      <c r="N70" s="29">
        <f>N$3</f>
        <v/>
      </c>
      <c r="O70" s="29">
        <f>O$3</f>
        <v/>
      </c>
      <c r="P70" s="29">
        <f>P$3</f>
        <v/>
      </c>
      <c r="Q70" s="29">
        <f>Q$3</f>
        <v/>
      </c>
    </row>
    <row r="71">
      <c r="A71" s="30">
        <f>CONCATENATE('6, Entendibilidad y Facilidad'!A3,": ",'6, Entendibilidad y Facilidad'!B3)</f>
        <v/>
      </c>
      <c r="B71" s="31" t="inlineStr">
        <is>
          <t>CR</t>
        </is>
      </c>
      <c r="C71" s="31" t="inlineStr">
        <is>
          <t>CR</t>
        </is>
      </c>
      <c r="D71" s="31" t="inlineStr">
        <is>
          <t>MA</t>
        </is>
      </c>
      <c r="E71" s="31" t="inlineStr">
        <is>
          <t>MA</t>
        </is>
      </c>
      <c r="F71" s="31" t="inlineStr">
        <is>
          <t>MA</t>
        </is>
      </c>
      <c r="G71" s="31" t="inlineStr">
        <is>
          <t>ME</t>
        </is>
      </c>
      <c r="H71" s="31" t="inlineStr">
        <is>
          <t>MO</t>
        </is>
      </c>
      <c r="I71" s="31" t="inlineStr">
        <is>
          <t>MA</t>
        </is>
      </c>
      <c r="J71" s="31" t="inlineStr">
        <is>
          <t>MA</t>
        </is>
      </c>
      <c r="K71" s="31" t="inlineStr">
        <is>
          <t>MO</t>
        </is>
      </c>
      <c r="L71" s="31" t="inlineStr">
        <is>
          <t>MO</t>
        </is>
      </c>
      <c r="M71" s="31" t="inlineStr">
        <is>
          <t>ME</t>
        </is>
      </c>
      <c r="N71" s="31" t="inlineStr">
        <is>
          <t>ME</t>
        </is>
      </c>
      <c r="O71" s="31" t="inlineStr">
        <is>
          <t>MA</t>
        </is>
      </c>
      <c r="P71" s="31" t="inlineStr">
        <is>
          <t>ME</t>
        </is>
      </c>
      <c r="Q71" s="31" t="inlineStr">
        <is>
          <t>ME</t>
        </is>
      </c>
    </row>
    <row r="72">
      <c r="A72" s="30">
        <f>CONCATENATE('6, Entendibilidad y Facilidad'!A4,": ",'6, Entendibilidad y Facilidad'!B4)</f>
        <v/>
      </c>
      <c r="B72" s="31" t="inlineStr">
        <is>
          <t>ME</t>
        </is>
      </c>
      <c r="C72" s="31" t="inlineStr">
        <is>
          <t>ME</t>
        </is>
      </c>
      <c r="D72" s="31" t="inlineStr">
        <is>
          <t>ME</t>
        </is>
      </c>
      <c r="E72" s="31" t="inlineStr">
        <is>
          <t>ME</t>
        </is>
      </c>
      <c r="F72" s="31" t="inlineStr">
        <is>
          <t>ME</t>
        </is>
      </c>
      <c r="G72" s="31" t="inlineStr">
        <is>
          <t>ME</t>
        </is>
      </c>
      <c r="H72" s="31" t="inlineStr">
        <is>
          <t>MO</t>
        </is>
      </c>
      <c r="I72" s="31" t="inlineStr">
        <is>
          <t>ME</t>
        </is>
      </c>
      <c r="J72" s="31" t="inlineStr">
        <is>
          <t>ME</t>
        </is>
      </c>
      <c r="K72" s="31" t="inlineStr">
        <is>
          <t>ME</t>
        </is>
      </c>
      <c r="L72" s="31" t="inlineStr">
        <is>
          <t>ME</t>
        </is>
      </c>
      <c r="M72" s="31" t="inlineStr">
        <is>
          <t>ME</t>
        </is>
      </c>
      <c r="N72" s="31" t="inlineStr">
        <is>
          <t>ME</t>
        </is>
      </c>
      <c r="O72" s="31" t="inlineStr">
        <is>
          <t>MO</t>
        </is>
      </c>
      <c r="P72" s="31" t="inlineStr">
        <is>
          <t>ME</t>
        </is>
      </c>
      <c r="Q72" s="31" t="inlineStr">
        <is>
          <t>MO</t>
        </is>
      </c>
    </row>
    <row r="73">
      <c r="A73" s="30">
        <f>CONCATENATE('6, Entendibilidad y Facilidad'!A5,": ",'6, Entendibilidad y Facilidad'!B5)</f>
        <v/>
      </c>
      <c r="B73" s="31" t="inlineStr">
        <is>
          <t>ME</t>
        </is>
      </c>
      <c r="C73" s="31" t="inlineStr">
        <is>
          <t>MO</t>
        </is>
      </c>
      <c r="D73" s="31" t="inlineStr">
        <is>
          <t>MA</t>
        </is>
      </c>
      <c r="E73" s="31" t="inlineStr">
        <is>
          <t>ME</t>
        </is>
      </c>
      <c r="F73" s="31" t="inlineStr">
        <is>
          <t>MA</t>
        </is>
      </c>
      <c r="G73" s="31" t="inlineStr">
        <is>
          <t>ME</t>
        </is>
      </c>
      <c r="H73" s="31" t="inlineStr">
        <is>
          <t>MO</t>
        </is>
      </c>
      <c r="I73" s="31" t="inlineStr">
        <is>
          <t>ME</t>
        </is>
      </c>
      <c r="J73" s="31" t="inlineStr">
        <is>
          <t>MA</t>
        </is>
      </c>
      <c r="K73" s="31" t="inlineStr">
        <is>
          <t>ME</t>
        </is>
      </c>
      <c r="L73" s="31" t="inlineStr">
        <is>
          <t>MO</t>
        </is>
      </c>
      <c r="M73" s="31" t="inlineStr">
        <is>
          <t>ME</t>
        </is>
      </c>
      <c r="N73" s="31" t="inlineStr">
        <is>
          <t>ME</t>
        </is>
      </c>
      <c r="O73" s="31" t="inlineStr">
        <is>
          <t>MO</t>
        </is>
      </c>
      <c r="P73" s="31" t="inlineStr">
        <is>
          <t>ME</t>
        </is>
      </c>
      <c r="Q73" s="31" t="inlineStr">
        <is>
          <t>MO</t>
        </is>
      </c>
    </row>
    <row r="74">
      <c r="A74" s="30">
        <f>CONCATENATE('6, Entendibilidad y Facilidad'!A6,": ",'6, Entendibilidad y Facilidad'!B6)</f>
        <v/>
      </c>
      <c r="B74" s="31" t="inlineStr">
        <is>
          <t>MA</t>
        </is>
      </c>
      <c r="C74" s="31" t="inlineStr">
        <is>
          <t>MA</t>
        </is>
      </c>
      <c r="D74" s="31" t="inlineStr">
        <is>
          <t>ME</t>
        </is>
      </c>
      <c r="E74" s="31" t="inlineStr">
        <is>
          <t>MA</t>
        </is>
      </c>
      <c r="F74" s="31" t="inlineStr">
        <is>
          <t>ME</t>
        </is>
      </c>
      <c r="G74" s="31" t="inlineStr">
        <is>
          <t>ME</t>
        </is>
      </c>
      <c r="H74" s="31" t="inlineStr">
        <is>
          <t>MO</t>
        </is>
      </c>
      <c r="I74" s="31" t="inlineStr">
        <is>
          <t>ME</t>
        </is>
      </c>
      <c r="J74" s="31" t="inlineStr">
        <is>
          <t>ME</t>
        </is>
      </c>
      <c r="K74" s="31" t="inlineStr">
        <is>
          <t>ME</t>
        </is>
      </c>
      <c r="L74" s="31" t="inlineStr">
        <is>
          <t>MO</t>
        </is>
      </c>
      <c r="M74" s="31" t="inlineStr">
        <is>
          <t>ME</t>
        </is>
      </c>
      <c r="N74" s="31" t="inlineStr">
        <is>
          <t>ME</t>
        </is>
      </c>
      <c r="O74" s="31" t="inlineStr">
        <is>
          <t>MA</t>
        </is>
      </c>
      <c r="P74" s="31" t="inlineStr">
        <is>
          <t>MA</t>
        </is>
      </c>
      <c r="Q74" s="31" t="inlineStr">
        <is>
          <t>MA</t>
        </is>
      </c>
    </row>
    <row r="75" ht="27.6" customHeight="1" s="3">
      <c r="A75" s="30">
        <f>CONCATENATE('6, Entendibilidad y Facilidad'!A7,": ",'6, Entendibilidad y Facilidad'!B7)</f>
        <v/>
      </c>
      <c r="B75" s="31" t="inlineStr">
        <is>
          <t>MA</t>
        </is>
      </c>
      <c r="C75" s="31" t="inlineStr">
        <is>
          <t>MA</t>
        </is>
      </c>
      <c r="D75" s="31" t="inlineStr">
        <is>
          <t>MA</t>
        </is>
      </c>
      <c r="E75" s="31" t="inlineStr">
        <is>
          <t>MA</t>
        </is>
      </c>
      <c r="F75" s="31" t="inlineStr">
        <is>
          <t>ME</t>
        </is>
      </c>
      <c r="G75" s="31" t="inlineStr">
        <is>
          <t>ME</t>
        </is>
      </c>
      <c r="H75" s="31" t="inlineStr">
        <is>
          <t>MO</t>
        </is>
      </c>
      <c r="I75" s="31" t="inlineStr">
        <is>
          <t>ME</t>
        </is>
      </c>
      <c r="J75" s="31" t="inlineStr">
        <is>
          <t>ME</t>
        </is>
      </c>
      <c r="K75" s="31" t="inlineStr">
        <is>
          <t>ME</t>
        </is>
      </c>
      <c r="L75" s="31" t="inlineStr">
        <is>
          <t>ME</t>
        </is>
      </c>
      <c r="M75" s="31" t="inlineStr">
        <is>
          <t>ME</t>
        </is>
      </c>
      <c r="N75" s="31" t="inlineStr">
        <is>
          <t>MA</t>
        </is>
      </c>
      <c r="O75" s="31" t="inlineStr">
        <is>
          <t>MA</t>
        </is>
      </c>
      <c r="P75" s="31" t="inlineStr">
        <is>
          <t>MA</t>
        </is>
      </c>
      <c r="Q75" s="31" t="inlineStr">
        <is>
          <t>MA</t>
        </is>
      </c>
    </row>
    <row r="76">
      <c r="A76" s="30">
        <f>CONCATENATE('6, Entendibilidad y Facilidad'!A8,": ",'6, Entendibilidad y Facilidad'!B8)</f>
        <v/>
      </c>
      <c r="B76" s="31" t="inlineStr">
        <is>
          <t>MA</t>
        </is>
      </c>
      <c r="C76" s="31" t="inlineStr">
        <is>
          <t>ME</t>
        </is>
      </c>
      <c r="D76" s="31" t="inlineStr">
        <is>
          <t>MA</t>
        </is>
      </c>
      <c r="E76" s="31" t="inlineStr">
        <is>
          <t>MA</t>
        </is>
      </c>
      <c r="F76" s="31" t="inlineStr">
        <is>
          <t>MA</t>
        </is>
      </c>
      <c r="G76" s="31" t="inlineStr">
        <is>
          <t>ME</t>
        </is>
      </c>
      <c r="H76" s="31" t="inlineStr">
        <is>
          <t>ME</t>
        </is>
      </c>
      <c r="I76" s="31" t="inlineStr">
        <is>
          <t>ME</t>
        </is>
      </c>
      <c r="J76" s="31" t="inlineStr">
        <is>
          <t>ME</t>
        </is>
      </c>
      <c r="K76" s="31" t="inlineStr">
        <is>
          <t>MO</t>
        </is>
      </c>
      <c r="L76" s="31" t="inlineStr">
        <is>
          <t>MO</t>
        </is>
      </c>
      <c r="M76" s="31" t="inlineStr">
        <is>
          <t>MO</t>
        </is>
      </c>
      <c r="N76" s="31" t="inlineStr">
        <is>
          <t>MA</t>
        </is>
      </c>
      <c r="O76" s="31" t="inlineStr">
        <is>
          <t>MO</t>
        </is>
      </c>
      <c r="P76" s="31" t="inlineStr">
        <is>
          <t>MA</t>
        </is>
      </c>
      <c r="Q76" s="31" t="inlineStr">
        <is>
          <t>ME</t>
        </is>
      </c>
    </row>
    <row r="77" ht="27.6" customHeight="1" s="3">
      <c r="A77" s="30">
        <f>CONCATENATE('6, Entendibilidad y Facilidad'!A9,": ",'6, Entendibilidad y Facilidad'!B9)</f>
        <v/>
      </c>
      <c r="B77" s="31" t="inlineStr">
        <is>
          <t>MA</t>
        </is>
      </c>
      <c r="C77" s="31" t="inlineStr">
        <is>
          <t>ME</t>
        </is>
      </c>
      <c r="D77" s="31" t="inlineStr">
        <is>
          <t>MA</t>
        </is>
      </c>
      <c r="E77" s="31" t="inlineStr">
        <is>
          <t>MA</t>
        </is>
      </c>
      <c r="F77" s="31" t="inlineStr">
        <is>
          <t>ME</t>
        </is>
      </c>
      <c r="G77" s="31" t="inlineStr">
        <is>
          <t>ME</t>
        </is>
      </c>
      <c r="H77" s="31" t="inlineStr">
        <is>
          <t>MO</t>
        </is>
      </c>
      <c r="I77" s="31" t="inlineStr">
        <is>
          <t>ME</t>
        </is>
      </c>
      <c r="J77" s="31" t="inlineStr">
        <is>
          <t>ME</t>
        </is>
      </c>
      <c r="K77" s="31" t="inlineStr">
        <is>
          <t>MO</t>
        </is>
      </c>
      <c r="L77" s="31" t="inlineStr">
        <is>
          <t>ME</t>
        </is>
      </c>
      <c r="M77" s="31" t="inlineStr">
        <is>
          <t>ME</t>
        </is>
      </c>
      <c r="N77" s="31" t="inlineStr">
        <is>
          <t>ME</t>
        </is>
      </c>
      <c r="O77" s="31" t="inlineStr">
        <is>
          <t>ME</t>
        </is>
      </c>
      <c r="P77" s="31" t="inlineStr">
        <is>
          <t>MA</t>
        </is>
      </c>
      <c r="Q77" s="31" t="inlineStr">
        <is>
          <t>MA</t>
        </is>
      </c>
    </row>
    <row r="78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7" t="n"/>
      <c r="N78" s="27" t="n"/>
      <c r="O78" s="27" t="n"/>
      <c r="P78" s="27" t="n"/>
      <c r="Q78" s="27" t="n"/>
    </row>
    <row r="79">
      <c r="A79" s="26" t="inlineStr">
        <is>
          <t>TABLA 6.27. RELEVANCIA DEL INCUMPLIMIENTO DE LOS CRITERIOS DE "CONTROL Y RETROALIMENTACIÓN"</t>
        </is>
      </c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27" t="n"/>
      <c r="P79" s="27" t="n"/>
      <c r="Q79" s="27" t="n"/>
    </row>
    <row r="80" ht="18" customHeight="1" s="3">
      <c r="A80" s="27" t="n"/>
      <c r="B80" s="28" t="inlineStr">
        <is>
          <t>Tipo de Sitio</t>
        </is>
      </c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7" t="n"/>
      <c r="N80" s="27" t="n"/>
      <c r="O80" s="27" t="n"/>
      <c r="P80" s="27" t="n"/>
      <c r="Q80" s="27" t="n"/>
    </row>
    <row r="81" ht="110.4" customHeight="1" s="3">
      <c r="A81" s="28" t="inlineStr">
        <is>
          <t>Criterio</t>
        </is>
      </c>
      <c r="B81" s="29">
        <f>B$3</f>
        <v/>
      </c>
      <c r="C81" s="29">
        <f>C$3</f>
        <v/>
      </c>
      <c r="D81" s="29">
        <f>D$3</f>
        <v/>
      </c>
      <c r="E81" s="29">
        <f>E$3</f>
        <v/>
      </c>
      <c r="F81" s="29">
        <f>F$3</f>
        <v/>
      </c>
      <c r="G81" s="29">
        <f>G$3</f>
        <v/>
      </c>
      <c r="H81" s="29">
        <f>H$3</f>
        <v/>
      </c>
      <c r="I81" s="29">
        <f>I$3</f>
        <v/>
      </c>
      <c r="J81" s="29">
        <f>J$3</f>
        <v/>
      </c>
      <c r="K81" s="29">
        <f>K$3</f>
        <v/>
      </c>
      <c r="L81" s="29">
        <f>L$3</f>
        <v/>
      </c>
      <c r="M81" s="29">
        <f>M$3</f>
        <v/>
      </c>
      <c r="N81" s="29">
        <f>N$3</f>
        <v/>
      </c>
      <c r="O81" s="29">
        <f>O$3</f>
        <v/>
      </c>
      <c r="P81" s="29">
        <f>P$3</f>
        <v/>
      </c>
      <c r="Q81" s="29">
        <f>Q$3</f>
        <v/>
      </c>
    </row>
    <row r="82">
      <c r="A82" s="30">
        <f>CONCATENATE('7, Control y Retoalimentación'!A3,": ",'7, Control y Retoalimentación'!B3)</f>
        <v/>
      </c>
      <c r="B82" s="31" t="inlineStr">
        <is>
          <t>ME</t>
        </is>
      </c>
      <c r="C82" s="31" t="inlineStr">
        <is>
          <t>MO</t>
        </is>
      </c>
      <c r="D82" s="31" t="inlineStr">
        <is>
          <t>MA</t>
        </is>
      </c>
      <c r="E82" s="31" t="inlineStr">
        <is>
          <t>MA</t>
        </is>
      </c>
      <c r="F82" s="31" t="inlineStr">
        <is>
          <t>MO</t>
        </is>
      </c>
      <c r="G82" s="31" t="inlineStr">
        <is>
          <t>MO</t>
        </is>
      </c>
      <c r="H82" s="31" t="inlineStr">
        <is>
          <t>MO</t>
        </is>
      </c>
      <c r="I82" s="31" t="inlineStr">
        <is>
          <t>ME</t>
        </is>
      </c>
      <c r="J82" s="31" t="inlineStr">
        <is>
          <t>ME</t>
        </is>
      </c>
      <c r="K82" s="31" t="inlineStr">
        <is>
          <t>ME</t>
        </is>
      </c>
      <c r="L82" s="31" t="inlineStr">
        <is>
          <t>ME</t>
        </is>
      </c>
      <c r="M82" s="31" t="inlineStr">
        <is>
          <t>ME</t>
        </is>
      </c>
      <c r="N82" s="31" t="inlineStr">
        <is>
          <t>ME</t>
        </is>
      </c>
      <c r="O82" s="31" t="inlineStr">
        <is>
          <t>MA</t>
        </is>
      </c>
      <c r="P82" s="31" t="inlineStr">
        <is>
          <t>MA</t>
        </is>
      </c>
      <c r="Q82" s="31" t="inlineStr">
        <is>
          <t>MA</t>
        </is>
      </c>
    </row>
    <row r="83">
      <c r="A83" s="30">
        <f>CONCATENATE('7, Control y Retoalimentación'!A4,": ",'7, Control y Retoalimentación'!B4)</f>
        <v/>
      </c>
      <c r="B83" s="31" t="inlineStr">
        <is>
          <t>ME</t>
        </is>
      </c>
      <c r="C83" s="31" t="inlineStr">
        <is>
          <t>MO</t>
        </is>
      </c>
      <c r="D83" s="31" t="inlineStr">
        <is>
          <t>MA</t>
        </is>
      </c>
      <c r="E83" s="31" t="inlineStr">
        <is>
          <t>MA</t>
        </is>
      </c>
      <c r="F83" s="31" t="inlineStr">
        <is>
          <t>ME</t>
        </is>
      </c>
      <c r="G83" s="31" t="inlineStr">
        <is>
          <t>MO</t>
        </is>
      </c>
      <c r="H83" s="31" t="inlineStr">
        <is>
          <t>MO</t>
        </is>
      </c>
      <c r="I83" s="31" t="inlineStr">
        <is>
          <t>MO</t>
        </is>
      </c>
      <c r="J83" s="31" t="inlineStr">
        <is>
          <t>MO</t>
        </is>
      </c>
      <c r="K83" s="31" t="inlineStr">
        <is>
          <t>ME</t>
        </is>
      </c>
      <c r="L83" s="31" t="inlineStr">
        <is>
          <t>MO</t>
        </is>
      </c>
      <c r="M83" s="31" t="inlineStr">
        <is>
          <t>MO</t>
        </is>
      </c>
      <c r="N83" s="31" t="inlineStr">
        <is>
          <t>ME</t>
        </is>
      </c>
      <c r="O83" s="31" t="inlineStr">
        <is>
          <t>MA</t>
        </is>
      </c>
      <c r="P83" s="31" t="inlineStr">
        <is>
          <t>MA</t>
        </is>
      </c>
      <c r="Q83" s="31" t="inlineStr">
        <is>
          <t>ME</t>
        </is>
      </c>
    </row>
    <row r="84">
      <c r="A84" s="30">
        <f>CONCATENATE('7, Control y Retoalimentación'!A5,": ",'7, Control y Retoalimentación'!B5)</f>
        <v/>
      </c>
      <c r="B84" s="31" t="inlineStr">
        <is>
          <t>MA</t>
        </is>
      </c>
      <c r="C84" s="31" t="inlineStr">
        <is>
          <t>ME</t>
        </is>
      </c>
      <c r="D84" s="31" t="inlineStr">
        <is>
          <t>MA</t>
        </is>
      </c>
      <c r="E84" s="31" t="inlineStr">
        <is>
          <t>CR</t>
        </is>
      </c>
      <c r="F84" s="31" t="inlineStr">
        <is>
          <t>ME</t>
        </is>
      </c>
      <c r="G84" s="31" t="inlineStr">
        <is>
          <t>MO</t>
        </is>
      </c>
      <c r="H84" s="31" t="inlineStr">
        <is>
          <t>ME</t>
        </is>
      </c>
      <c r="I84" s="31" t="inlineStr">
        <is>
          <t>ME</t>
        </is>
      </c>
      <c r="J84" s="31" t="inlineStr">
        <is>
          <t>ME</t>
        </is>
      </c>
      <c r="K84" s="31" t="inlineStr">
        <is>
          <t>MO</t>
        </is>
      </c>
      <c r="L84" s="31" t="inlineStr">
        <is>
          <t>MO</t>
        </is>
      </c>
      <c r="M84" s="31" t="inlineStr">
        <is>
          <t>MO</t>
        </is>
      </c>
      <c r="N84" s="31" t="inlineStr">
        <is>
          <t>ME</t>
        </is>
      </c>
      <c r="O84" s="31" t="inlineStr">
        <is>
          <t>MA</t>
        </is>
      </c>
      <c r="P84" s="31" t="inlineStr">
        <is>
          <t>ME</t>
        </is>
      </c>
      <c r="Q84" s="31" t="inlineStr">
        <is>
          <t>ME</t>
        </is>
      </c>
    </row>
    <row r="85" ht="27.6" customHeight="1" s="3">
      <c r="A85" s="30">
        <f>CONCATENATE('7, Control y Retoalimentación'!A6,": ",'7, Control y Retoalimentación'!B6)</f>
        <v/>
      </c>
      <c r="B85" s="31" t="inlineStr">
        <is>
          <t>CR</t>
        </is>
      </c>
      <c r="C85" s="31" t="inlineStr">
        <is>
          <t>ME</t>
        </is>
      </c>
      <c r="D85" s="31" t="inlineStr">
        <is>
          <t>MA</t>
        </is>
      </c>
      <c r="E85" s="31" t="inlineStr">
        <is>
          <t>CR</t>
        </is>
      </c>
      <c r="F85" s="31" t="inlineStr">
        <is>
          <t>MO</t>
        </is>
      </c>
      <c r="G85" s="31" t="inlineStr">
        <is>
          <t>MA</t>
        </is>
      </c>
      <c r="H85" s="31" t="inlineStr">
        <is>
          <t>ME</t>
        </is>
      </c>
      <c r="I85" s="31" t="inlineStr">
        <is>
          <t>ME</t>
        </is>
      </c>
      <c r="J85" s="31" t="inlineStr">
        <is>
          <t>ME</t>
        </is>
      </c>
      <c r="K85" s="31" t="inlineStr">
        <is>
          <t>MO</t>
        </is>
      </c>
      <c r="L85" s="31" t="inlineStr">
        <is>
          <t>MO</t>
        </is>
      </c>
      <c r="M85" s="31" t="inlineStr">
        <is>
          <t>ME</t>
        </is>
      </c>
      <c r="N85" s="31" t="inlineStr">
        <is>
          <t>MA</t>
        </is>
      </c>
      <c r="O85" s="31" t="inlineStr">
        <is>
          <t>ME</t>
        </is>
      </c>
      <c r="P85" s="31" t="inlineStr">
        <is>
          <t>MA</t>
        </is>
      </c>
      <c r="Q85" s="31" t="inlineStr">
        <is>
          <t>MA</t>
        </is>
      </c>
    </row>
    <row r="86" ht="27.6" customHeight="1" s="3">
      <c r="A86" s="30">
        <f>CONCATENATE('7, Control y Retoalimentación'!A7,": ",'7, Control y Retoalimentación'!B7)</f>
        <v/>
      </c>
      <c r="B86" s="31" t="inlineStr">
        <is>
          <t>MA</t>
        </is>
      </c>
      <c r="C86" s="31" t="inlineStr">
        <is>
          <t>MO</t>
        </is>
      </c>
      <c r="D86" s="31" t="inlineStr">
        <is>
          <t>MO</t>
        </is>
      </c>
      <c r="E86" s="31" t="inlineStr">
        <is>
          <t>MA</t>
        </is>
      </c>
      <c r="F86" s="31" t="inlineStr">
        <is>
          <t>MO</t>
        </is>
      </c>
      <c r="G86" s="31" t="inlineStr">
        <is>
          <t>MA</t>
        </is>
      </c>
      <c r="H86" s="31" t="inlineStr">
        <is>
          <t>MO</t>
        </is>
      </c>
      <c r="I86" s="31" t="inlineStr">
        <is>
          <t>MO</t>
        </is>
      </c>
      <c r="J86" s="31" t="inlineStr">
        <is>
          <t>ME</t>
        </is>
      </c>
      <c r="K86" s="31" t="inlineStr">
        <is>
          <t>MO</t>
        </is>
      </c>
      <c r="L86" s="31" t="inlineStr">
        <is>
          <t>MO</t>
        </is>
      </c>
      <c r="M86" s="31" t="inlineStr">
        <is>
          <t>ME</t>
        </is>
      </c>
      <c r="N86" s="31" t="inlineStr">
        <is>
          <t>ME</t>
        </is>
      </c>
      <c r="O86" s="31" t="inlineStr">
        <is>
          <t>ME</t>
        </is>
      </c>
      <c r="P86" s="31" t="inlineStr">
        <is>
          <t>ME</t>
        </is>
      </c>
      <c r="Q86" s="31" t="inlineStr">
        <is>
          <t>MA</t>
        </is>
      </c>
    </row>
    <row r="87">
      <c r="A87" s="30">
        <f>CONCATENATE('7, Control y Retoalimentación'!A8,": ",'7, Control y Retoalimentación'!B8)</f>
        <v/>
      </c>
      <c r="B87" s="31" t="inlineStr">
        <is>
          <t>MA</t>
        </is>
      </c>
      <c r="C87" s="31" t="inlineStr">
        <is>
          <t>CR</t>
        </is>
      </c>
      <c r="D87" s="31" t="inlineStr">
        <is>
          <t>MO</t>
        </is>
      </c>
      <c r="E87" s="31" t="inlineStr">
        <is>
          <t>CR</t>
        </is>
      </c>
      <c r="F87" s="31" t="inlineStr">
        <is>
          <t>ME</t>
        </is>
      </c>
      <c r="G87" s="31" t="inlineStr">
        <is>
          <t>MA</t>
        </is>
      </c>
      <c r="H87" s="31" t="inlineStr">
        <is>
          <t>CR</t>
        </is>
      </c>
      <c r="I87" s="31" t="inlineStr">
        <is>
          <t>MO</t>
        </is>
      </c>
      <c r="J87" s="31" t="inlineStr">
        <is>
          <t>ME</t>
        </is>
      </c>
      <c r="K87" s="31" t="inlineStr">
        <is>
          <t>MA</t>
        </is>
      </c>
      <c r="L87" s="31" t="inlineStr">
        <is>
          <t>MA</t>
        </is>
      </c>
      <c r="M87" s="31" t="inlineStr">
        <is>
          <t>MO</t>
        </is>
      </c>
      <c r="N87" s="31" t="inlineStr">
        <is>
          <t>MA</t>
        </is>
      </c>
      <c r="O87" s="31" t="inlineStr">
        <is>
          <t>CR</t>
        </is>
      </c>
      <c r="P87" s="31" t="inlineStr">
        <is>
          <t>CR</t>
        </is>
      </c>
      <c r="Q87" s="31" t="inlineStr">
        <is>
          <t>MA</t>
        </is>
      </c>
    </row>
    <row r="88" ht="27.6" customHeight="1" s="3">
      <c r="A88" s="30">
        <f>CONCATENATE('7, Control y Retoalimentación'!A9,": ",'7, Control y Retoalimentación'!B9)</f>
        <v/>
      </c>
      <c r="B88" s="31" t="inlineStr">
        <is>
          <t>MA</t>
        </is>
      </c>
      <c r="C88" s="31" t="inlineStr">
        <is>
          <t>ME</t>
        </is>
      </c>
      <c r="D88" s="31" t="inlineStr">
        <is>
          <t>MA</t>
        </is>
      </c>
      <c r="E88" s="31" t="inlineStr">
        <is>
          <t>CR</t>
        </is>
      </c>
      <c r="F88" s="31" t="inlineStr">
        <is>
          <t>ME</t>
        </is>
      </c>
      <c r="G88" s="31" t="inlineStr">
        <is>
          <t>MO</t>
        </is>
      </c>
      <c r="H88" s="31" t="inlineStr">
        <is>
          <t>ME</t>
        </is>
      </c>
      <c r="I88" s="31" t="inlineStr">
        <is>
          <t>ME</t>
        </is>
      </c>
      <c r="J88" s="31" t="inlineStr">
        <is>
          <t>MA</t>
        </is>
      </c>
      <c r="K88" s="31" t="inlineStr">
        <is>
          <t>ME</t>
        </is>
      </c>
      <c r="L88" s="31" t="inlineStr">
        <is>
          <t>ME</t>
        </is>
      </c>
      <c r="M88" s="31" t="inlineStr">
        <is>
          <t>ME</t>
        </is>
      </c>
      <c r="N88" s="31" t="inlineStr">
        <is>
          <t>ME</t>
        </is>
      </c>
      <c r="O88" s="31" t="inlineStr">
        <is>
          <t>MA</t>
        </is>
      </c>
      <c r="P88" s="31" t="inlineStr">
        <is>
          <t>MA</t>
        </is>
      </c>
      <c r="Q88" s="31" t="inlineStr">
        <is>
          <t>MA</t>
        </is>
      </c>
    </row>
    <row r="89">
      <c r="A89" s="30">
        <f>CONCATENATE('7, Control y Retoalimentación'!A10,": ",'7, Control y Retoalimentación'!B10)</f>
        <v/>
      </c>
      <c r="B89" s="31" t="inlineStr">
        <is>
          <t>MA</t>
        </is>
      </c>
      <c r="C89" s="31" t="inlineStr">
        <is>
          <t>ME</t>
        </is>
      </c>
      <c r="D89" s="31" t="inlineStr">
        <is>
          <t>MA</t>
        </is>
      </c>
      <c r="E89" s="31" t="inlineStr">
        <is>
          <t>MA</t>
        </is>
      </c>
      <c r="F89" s="31" t="inlineStr">
        <is>
          <t>ME</t>
        </is>
      </c>
      <c r="G89" s="31" t="inlineStr">
        <is>
          <t>ME</t>
        </is>
      </c>
      <c r="H89" s="31" t="inlineStr">
        <is>
          <t>MO</t>
        </is>
      </c>
      <c r="I89" s="31" t="inlineStr">
        <is>
          <t>ME</t>
        </is>
      </c>
      <c r="J89" s="31" t="inlineStr">
        <is>
          <t>MA</t>
        </is>
      </c>
      <c r="K89" s="31" t="inlineStr">
        <is>
          <t>ME</t>
        </is>
      </c>
      <c r="L89" s="31" t="inlineStr">
        <is>
          <t>ME</t>
        </is>
      </c>
      <c r="M89" s="31" t="inlineStr">
        <is>
          <t>MO</t>
        </is>
      </c>
      <c r="N89" s="31" t="inlineStr">
        <is>
          <t>ME</t>
        </is>
      </c>
      <c r="O89" s="31" t="inlineStr">
        <is>
          <t>MA</t>
        </is>
      </c>
      <c r="P89" s="31" t="inlineStr">
        <is>
          <t>ME</t>
        </is>
      </c>
      <c r="Q89" s="31" t="inlineStr">
        <is>
          <t>MA</t>
        </is>
      </c>
    </row>
    <row r="90">
      <c r="A90" s="30">
        <f>CONCATENATE('7, Control y Retoalimentación'!A11,": ",'7, Control y Retoalimentación'!B11)</f>
        <v/>
      </c>
      <c r="B90" s="31" t="inlineStr">
        <is>
          <t>MA</t>
        </is>
      </c>
      <c r="C90" s="31" t="inlineStr">
        <is>
          <t>MO</t>
        </is>
      </c>
      <c r="D90" s="31" t="inlineStr">
        <is>
          <t>ME</t>
        </is>
      </c>
      <c r="E90" s="31" t="inlineStr">
        <is>
          <t>CR</t>
        </is>
      </c>
      <c r="F90" s="31" t="inlineStr">
        <is>
          <t>ME</t>
        </is>
      </c>
      <c r="G90" s="31" t="inlineStr">
        <is>
          <t>ME</t>
        </is>
      </c>
      <c r="H90" s="31" t="inlineStr">
        <is>
          <t>MO</t>
        </is>
      </c>
      <c r="I90" s="31" t="inlineStr">
        <is>
          <t>ME</t>
        </is>
      </c>
      <c r="J90" s="31" t="inlineStr">
        <is>
          <t>ME</t>
        </is>
      </c>
      <c r="K90" s="31" t="inlineStr">
        <is>
          <t>MO</t>
        </is>
      </c>
      <c r="L90" s="31" t="inlineStr">
        <is>
          <t>MO</t>
        </is>
      </c>
      <c r="M90" s="31" t="inlineStr">
        <is>
          <t>ME</t>
        </is>
      </c>
      <c r="N90" s="31" t="inlineStr">
        <is>
          <t>ME</t>
        </is>
      </c>
      <c r="O90" s="31" t="inlineStr">
        <is>
          <t>MA</t>
        </is>
      </c>
      <c r="P90" s="31" t="inlineStr">
        <is>
          <t>MO</t>
        </is>
      </c>
      <c r="Q90" s="31" t="inlineStr">
        <is>
          <t>ME</t>
        </is>
      </c>
    </row>
    <row r="91" ht="27.6" customHeight="1" s="3">
      <c r="A91" s="30">
        <f>CONCATENATE('7, Control y Retoalimentación'!A12,": ",'7, Control y Retoalimentación'!B12)</f>
        <v/>
      </c>
      <c r="B91" s="31" t="inlineStr">
        <is>
          <t>MA</t>
        </is>
      </c>
      <c r="C91" s="31" t="inlineStr">
        <is>
          <t>ME</t>
        </is>
      </c>
      <c r="D91" s="31" t="inlineStr">
        <is>
          <t>MO</t>
        </is>
      </c>
      <c r="E91" s="31" t="inlineStr">
        <is>
          <t>MA</t>
        </is>
      </c>
      <c r="F91" s="31" t="inlineStr">
        <is>
          <t>MO</t>
        </is>
      </c>
      <c r="G91" s="31" t="inlineStr">
        <is>
          <t>ME</t>
        </is>
      </c>
      <c r="H91" s="31" t="inlineStr">
        <is>
          <t>MO</t>
        </is>
      </c>
      <c r="I91" s="31" t="inlineStr">
        <is>
          <t>MO</t>
        </is>
      </c>
      <c r="J91" s="31" t="inlineStr">
        <is>
          <t>ME</t>
        </is>
      </c>
      <c r="K91" s="31" t="inlineStr">
        <is>
          <t>MO</t>
        </is>
      </c>
      <c r="L91" s="31" t="inlineStr">
        <is>
          <t>MO</t>
        </is>
      </c>
      <c r="M91" s="31" t="inlineStr">
        <is>
          <t>MO</t>
        </is>
      </c>
      <c r="N91" s="31" t="inlineStr">
        <is>
          <t>ME</t>
        </is>
      </c>
      <c r="O91" s="31" t="inlineStr">
        <is>
          <t>MO</t>
        </is>
      </c>
      <c r="P91" s="31" t="inlineStr">
        <is>
          <t>ME</t>
        </is>
      </c>
      <c r="Q91" s="31" t="inlineStr">
        <is>
          <t>ME</t>
        </is>
      </c>
    </row>
    <row r="92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7" t="n"/>
      <c r="N92" s="27" t="n"/>
      <c r="O92" s="27" t="n"/>
      <c r="P92" s="27" t="n"/>
      <c r="Q92" s="27" t="n"/>
    </row>
    <row r="93">
      <c r="A93" s="26" t="inlineStr">
        <is>
          <t>TABLA 6.28. RELEVANCIA DEL INCUMPLIMIENTO DE LOS CRITERIOS DE "ELEMENTOS MULTIMEDIA"</t>
        </is>
      </c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7" t="n"/>
      <c r="N93" s="27" t="n"/>
      <c r="O93" s="27" t="n"/>
      <c r="P93" s="27" t="n"/>
      <c r="Q93" s="27" t="n"/>
    </row>
    <row r="94" ht="18" customHeight="1" s="3">
      <c r="A94" s="27" t="n"/>
      <c r="B94" s="28" t="inlineStr">
        <is>
          <t>Tipo de Sitio</t>
        </is>
      </c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7" t="n"/>
      <c r="N94" s="27" t="n"/>
      <c r="O94" s="27" t="n"/>
      <c r="P94" s="27" t="n"/>
      <c r="Q94" s="27" t="n"/>
    </row>
    <row r="95" ht="110.4" customHeight="1" s="3">
      <c r="A95" s="28" t="inlineStr">
        <is>
          <t>Criterio</t>
        </is>
      </c>
      <c r="B95" s="29">
        <f>B$3</f>
        <v/>
      </c>
      <c r="C95" s="29">
        <f>C$3</f>
        <v/>
      </c>
      <c r="D95" s="29">
        <f>D$3</f>
        <v/>
      </c>
      <c r="E95" s="29">
        <f>E$3</f>
        <v/>
      </c>
      <c r="F95" s="29">
        <f>F$3</f>
        <v/>
      </c>
      <c r="G95" s="29">
        <f>G$3</f>
        <v/>
      </c>
      <c r="H95" s="29">
        <f>H$3</f>
        <v/>
      </c>
      <c r="I95" s="29">
        <f>I$3</f>
        <v/>
      </c>
      <c r="J95" s="29">
        <f>J$3</f>
        <v/>
      </c>
      <c r="K95" s="29">
        <f>K$3</f>
        <v/>
      </c>
      <c r="L95" s="29">
        <f>L$3</f>
        <v/>
      </c>
      <c r="M95" s="29">
        <f>M$3</f>
        <v/>
      </c>
      <c r="N95" s="29">
        <f>N$3</f>
        <v/>
      </c>
      <c r="O95" s="29">
        <f>O$3</f>
        <v/>
      </c>
      <c r="P95" s="29">
        <f>P$3</f>
        <v/>
      </c>
      <c r="Q95" s="29">
        <f>Q$3</f>
        <v/>
      </c>
    </row>
    <row r="96">
      <c r="A96" s="30">
        <f>CONCATENATE('8, Elementos multimedia'!A3,": ",'8, Elementos multimedia'!B3)</f>
        <v/>
      </c>
      <c r="B96" s="31" t="inlineStr">
        <is>
          <t>ME</t>
        </is>
      </c>
      <c r="C96" s="31" t="inlineStr">
        <is>
          <t>MO</t>
        </is>
      </c>
      <c r="D96" s="31" t="inlineStr">
        <is>
          <t>MO</t>
        </is>
      </c>
      <c r="E96" s="31" t="inlineStr">
        <is>
          <t>MO</t>
        </is>
      </c>
      <c r="F96" s="31" t="inlineStr">
        <is>
          <t>MA</t>
        </is>
      </c>
      <c r="G96" s="31" t="inlineStr">
        <is>
          <t>MA</t>
        </is>
      </c>
      <c r="H96" s="31" t="inlineStr">
        <is>
          <t>MO</t>
        </is>
      </c>
      <c r="I96" s="31" t="inlineStr">
        <is>
          <t>ME</t>
        </is>
      </c>
      <c r="J96" s="31" t="inlineStr">
        <is>
          <t>MO</t>
        </is>
      </c>
      <c r="K96" s="31" t="inlineStr">
        <is>
          <t>MO</t>
        </is>
      </c>
      <c r="L96" s="31" t="inlineStr">
        <is>
          <t>MA</t>
        </is>
      </c>
      <c r="M96" s="31" t="inlineStr">
        <is>
          <t>MO</t>
        </is>
      </c>
      <c r="N96" s="31" t="inlineStr">
        <is>
          <t>MA</t>
        </is>
      </c>
      <c r="O96" s="31" t="inlineStr">
        <is>
          <t>MA</t>
        </is>
      </c>
      <c r="P96" s="31" t="inlineStr">
        <is>
          <t>ME</t>
        </is>
      </c>
      <c r="Q96" s="31" t="inlineStr">
        <is>
          <t>MO</t>
        </is>
      </c>
    </row>
    <row r="97">
      <c r="A97" s="30">
        <f>CONCATENATE('8, Elementos multimedia'!A4,": ",'8, Elementos multimedia'!B4)</f>
        <v/>
      </c>
      <c r="B97" s="31" t="inlineStr">
        <is>
          <t>ME</t>
        </is>
      </c>
      <c r="C97" s="31" t="inlineStr">
        <is>
          <t>MO</t>
        </is>
      </c>
      <c r="D97" s="31" t="inlineStr">
        <is>
          <t>MO</t>
        </is>
      </c>
      <c r="E97" s="31" t="inlineStr">
        <is>
          <t>CR</t>
        </is>
      </c>
      <c r="F97" s="31" t="inlineStr">
        <is>
          <t>MA</t>
        </is>
      </c>
      <c r="G97" s="31" t="inlineStr">
        <is>
          <t>ME</t>
        </is>
      </c>
      <c r="H97" s="31" t="inlineStr">
        <is>
          <t>MA</t>
        </is>
      </c>
      <c r="I97" s="31" t="inlineStr">
        <is>
          <t>MA</t>
        </is>
      </c>
      <c r="J97" s="31" t="inlineStr">
        <is>
          <t>MA</t>
        </is>
      </c>
      <c r="K97" s="31" t="inlineStr">
        <is>
          <t>MO</t>
        </is>
      </c>
      <c r="L97" s="31" t="inlineStr">
        <is>
          <t>MA</t>
        </is>
      </c>
      <c r="M97" s="31" t="inlineStr">
        <is>
          <t>MO</t>
        </is>
      </c>
      <c r="N97" s="31" t="inlineStr">
        <is>
          <t>MA</t>
        </is>
      </c>
      <c r="O97" s="31" t="inlineStr">
        <is>
          <t>CR</t>
        </is>
      </c>
      <c r="P97" s="31" t="inlineStr">
        <is>
          <t>MA</t>
        </is>
      </c>
      <c r="Q97" s="31" t="inlineStr">
        <is>
          <t>ME</t>
        </is>
      </c>
    </row>
    <row r="98">
      <c r="A98" s="30">
        <f>CONCATENATE('8, Elementos multimedia'!A5,": ",'8, Elementos multimedia'!B5)</f>
        <v/>
      </c>
      <c r="B98" s="31" t="inlineStr">
        <is>
          <t>MO</t>
        </is>
      </c>
      <c r="C98" s="31" t="inlineStr">
        <is>
          <t>MO</t>
        </is>
      </c>
      <c r="D98" s="31" t="inlineStr">
        <is>
          <t>MA</t>
        </is>
      </c>
      <c r="E98" s="31" t="inlineStr">
        <is>
          <t>MA</t>
        </is>
      </c>
      <c r="F98" s="31" t="inlineStr">
        <is>
          <t>MA</t>
        </is>
      </c>
      <c r="G98" s="31" t="inlineStr">
        <is>
          <t>ME</t>
        </is>
      </c>
      <c r="H98" s="31" t="inlineStr">
        <is>
          <t>MO</t>
        </is>
      </c>
      <c r="I98" s="31" t="inlineStr">
        <is>
          <t>ME</t>
        </is>
      </c>
      <c r="J98" s="31" t="inlineStr">
        <is>
          <t>ME</t>
        </is>
      </c>
      <c r="K98" s="31" t="inlineStr">
        <is>
          <t>MO</t>
        </is>
      </c>
      <c r="L98" s="31" t="inlineStr">
        <is>
          <t>MA</t>
        </is>
      </c>
      <c r="M98" s="31" t="inlineStr">
        <is>
          <t>MO</t>
        </is>
      </c>
      <c r="N98" s="31" t="inlineStr">
        <is>
          <t>MA</t>
        </is>
      </c>
      <c r="O98" s="31" t="inlineStr">
        <is>
          <t>MA</t>
        </is>
      </c>
      <c r="P98" s="31" t="inlineStr">
        <is>
          <t>MA</t>
        </is>
      </c>
      <c r="Q98" s="31" t="inlineStr">
        <is>
          <t>ME</t>
        </is>
      </c>
    </row>
    <row r="99">
      <c r="A99" s="30">
        <f>CONCATENATE('8, Elementos multimedia'!A6,": ",'8, Elementos multimedia'!B6)</f>
        <v/>
      </c>
      <c r="B99" s="31" t="inlineStr">
        <is>
          <t>ME</t>
        </is>
      </c>
      <c r="C99" s="31" t="inlineStr">
        <is>
          <t>ME</t>
        </is>
      </c>
      <c r="D99" s="31" t="inlineStr">
        <is>
          <t>MO</t>
        </is>
      </c>
      <c r="E99" s="31" t="inlineStr">
        <is>
          <t>ME</t>
        </is>
      </c>
      <c r="F99" s="31" t="inlineStr">
        <is>
          <t>ME</t>
        </is>
      </c>
      <c r="G99" s="31" t="inlineStr">
        <is>
          <t>ME</t>
        </is>
      </c>
      <c r="H99" s="31" t="inlineStr">
        <is>
          <t>ME</t>
        </is>
      </c>
      <c r="I99" s="31" t="inlineStr">
        <is>
          <t>ME</t>
        </is>
      </c>
      <c r="J99" s="31" t="inlineStr">
        <is>
          <t>ME</t>
        </is>
      </c>
      <c r="K99" s="31" t="inlineStr">
        <is>
          <t>MO</t>
        </is>
      </c>
      <c r="L99" s="31" t="inlineStr">
        <is>
          <t>ME</t>
        </is>
      </c>
      <c r="M99" s="31" t="inlineStr">
        <is>
          <t>ME</t>
        </is>
      </c>
      <c r="N99" s="31" t="inlineStr">
        <is>
          <t>ME</t>
        </is>
      </c>
      <c r="O99" s="31" t="inlineStr">
        <is>
          <t>MA</t>
        </is>
      </c>
      <c r="P99" s="31" t="inlineStr">
        <is>
          <t>ME</t>
        </is>
      </c>
      <c r="Q99" s="31" t="inlineStr">
        <is>
          <t>ME</t>
        </is>
      </c>
    </row>
    <row r="100">
      <c r="A100" s="30">
        <f>CONCATENATE('8, Elementos multimedia'!A7,": ",'8, Elementos multimedia'!B7)</f>
        <v/>
      </c>
      <c r="B100" s="31" t="inlineStr">
        <is>
          <t>MA</t>
        </is>
      </c>
      <c r="C100" s="31" t="inlineStr">
        <is>
          <t>MO</t>
        </is>
      </c>
      <c r="D100" s="31" t="inlineStr">
        <is>
          <t>MA</t>
        </is>
      </c>
      <c r="E100" s="31" t="inlineStr">
        <is>
          <t>MA</t>
        </is>
      </c>
      <c r="F100" s="31" t="inlineStr">
        <is>
          <t>ME</t>
        </is>
      </c>
      <c r="G100" s="31" t="inlineStr">
        <is>
          <t>MA</t>
        </is>
      </c>
      <c r="H100" s="31" t="inlineStr">
        <is>
          <t>ME</t>
        </is>
      </c>
      <c r="I100" s="31" t="inlineStr">
        <is>
          <t>ME</t>
        </is>
      </c>
      <c r="J100" s="31" t="inlineStr">
        <is>
          <t>MA</t>
        </is>
      </c>
      <c r="K100" s="31" t="inlineStr">
        <is>
          <t>MO</t>
        </is>
      </c>
      <c r="L100" s="31" t="inlineStr">
        <is>
          <t>MO</t>
        </is>
      </c>
      <c r="M100" s="31" t="inlineStr">
        <is>
          <t>ME</t>
        </is>
      </c>
      <c r="N100" s="31" t="inlineStr">
        <is>
          <t>ME</t>
        </is>
      </c>
      <c r="O100" s="31" t="inlineStr">
        <is>
          <t>MA</t>
        </is>
      </c>
      <c r="P100" s="31" t="inlineStr">
        <is>
          <t>MA</t>
        </is>
      </c>
      <c r="Q100" s="31" t="inlineStr">
        <is>
          <t>MA</t>
        </is>
      </c>
    </row>
    <row r="101">
      <c r="A101" s="30">
        <f>CONCATENATE('8, Elementos multimedia'!A8,": ",'8, Elementos multimedia'!B8)</f>
        <v/>
      </c>
      <c r="B101" s="31" t="inlineStr">
        <is>
          <t>MO</t>
        </is>
      </c>
      <c r="C101" s="31" t="inlineStr">
        <is>
          <t>MO</t>
        </is>
      </c>
      <c r="D101" s="31" t="inlineStr">
        <is>
          <t>MO</t>
        </is>
      </c>
      <c r="E101" s="31" t="inlineStr">
        <is>
          <t>MO</t>
        </is>
      </c>
      <c r="F101" s="31" t="inlineStr">
        <is>
          <t>MA</t>
        </is>
      </c>
      <c r="G101" s="31" t="inlineStr">
        <is>
          <t>MO</t>
        </is>
      </c>
      <c r="H101" s="31" t="inlineStr">
        <is>
          <t>MO</t>
        </is>
      </c>
      <c r="I101" s="31" t="inlineStr">
        <is>
          <t>MO</t>
        </is>
      </c>
      <c r="J101" s="31" t="inlineStr">
        <is>
          <t>MO</t>
        </is>
      </c>
      <c r="K101" s="31" t="inlineStr">
        <is>
          <t>MO</t>
        </is>
      </c>
      <c r="L101" s="31" t="inlineStr">
        <is>
          <t>MO</t>
        </is>
      </c>
      <c r="M101" s="31" t="inlineStr">
        <is>
          <t>MO</t>
        </is>
      </c>
      <c r="N101" s="31" t="inlineStr">
        <is>
          <t>MO</t>
        </is>
      </c>
      <c r="O101" s="31" t="inlineStr">
        <is>
          <t>MO</t>
        </is>
      </c>
      <c r="P101" s="31" t="inlineStr">
        <is>
          <t>MO</t>
        </is>
      </c>
      <c r="Q101" s="31" t="inlineStr">
        <is>
          <t>MO</t>
        </is>
      </c>
    </row>
    <row r="102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</row>
    <row r="103">
      <c r="A103" s="26" t="inlineStr">
        <is>
          <t>TABLA 6.29. RELEVANCIA DEL INCUMPLIMIENTO DE LOS CRITERIOS DE "BÚSQUEDA"</t>
        </is>
      </c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</row>
    <row r="104" ht="18" customHeight="1" s="3">
      <c r="A104" s="27" t="n"/>
      <c r="B104" s="28" t="inlineStr">
        <is>
          <t>Tipo de Sitio</t>
        </is>
      </c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</row>
    <row r="105" ht="110.4" customHeight="1" s="3">
      <c r="A105" s="28" t="inlineStr">
        <is>
          <t>Criterio</t>
        </is>
      </c>
      <c r="B105" s="29">
        <f>B$3</f>
        <v/>
      </c>
      <c r="C105" s="29">
        <f>C$3</f>
        <v/>
      </c>
      <c r="D105" s="29">
        <f>D$3</f>
        <v/>
      </c>
      <c r="E105" s="29">
        <f>E$3</f>
        <v/>
      </c>
      <c r="F105" s="29">
        <f>F$3</f>
        <v/>
      </c>
      <c r="G105" s="29">
        <f>G$3</f>
        <v/>
      </c>
      <c r="H105" s="29">
        <f>H$3</f>
        <v/>
      </c>
      <c r="I105" s="29">
        <f>I$3</f>
        <v/>
      </c>
      <c r="J105" s="29">
        <f>J$3</f>
        <v/>
      </c>
      <c r="K105" s="29">
        <f>K$3</f>
        <v/>
      </c>
      <c r="L105" s="29">
        <f>L$3</f>
        <v/>
      </c>
      <c r="M105" s="29">
        <f>M$3</f>
        <v/>
      </c>
      <c r="N105" s="29">
        <f>N$3</f>
        <v/>
      </c>
      <c r="O105" s="29">
        <f>O$3</f>
        <v/>
      </c>
      <c r="P105" s="29">
        <f>P$3</f>
        <v/>
      </c>
      <c r="Q105" s="29">
        <f>Q$3</f>
        <v/>
      </c>
    </row>
    <row r="106" ht="27.6" customHeight="1" s="3">
      <c r="A106" s="30">
        <f>CONCATENATE('9, Búsqueda'!A3,": ",'9, Búsqueda'!B3)</f>
        <v/>
      </c>
      <c r="B106" s="31" t="inlineStr">
        <is>
          <t>CR</t>
        </is>
      </c>
      <c r="C106" s="31" t="inlineStr">
        <is>
          <t>MA</t>
        </is>
      </c>
      <c r="D106" s="31" t="inlineStr">
        <is>
          <t>MO</t>
        </is>
      </c>
      <c r="E106" s="31" t="inlineStr">
        <is>
          <t>CR</t>
        </is>
      </c>
      <c r="F106" s="31" t="inlineStr">
        <is>
          <t>MA</t>
        </is>
      </c>
      <c r="G106" s="31" t="inlineStr">
        <is>
          <t>MO</t>
        </is>
      </c>
      <c r="H106" s="31" t="inlineStr">
        <is>
          <t>ME</t>
        </is>
      </c>
      <c r="I106" s="31" t="inlineStr">
        <is>
          <t>MA</t>
        </is>
      </c>
      <c r="J106" s="31" t="inlineStr">
        <is>
          <t>MA</t>
        </is>
      </c>
      <c r="K106" s="31" t="inlineStr">
        <is>
          <t>MO</t>
        </is>
      </c>
      <c r="L106" s="31" t="inlineStr">
        <is>
          <t>ME</t>
        </is>
      </c>
      <c r="M106" s="31" t="inlineStr">
        <is>
          <t>MO</t>
        </is>
      </c>
      <c r="N106" s="31" t="inlineStr">
        <is>
          <t>MO</t>
        </is>
      </c>
      <c r="O106" s="31" t="inlineStr">
        <is>
          <t>MA</t>
        </is>
      </c>
      <c r="P106" s="31" t="inlineStr">
        <is>
          <t>MA</t>
        </is>
      </c>
      <c r="Q106" s="31" t="inlineStr">
        <is>
          <t>MA</t>
        </is>
      </c>
    </row>
    <row r="107">
      <c r="A107" s="30">
        <f>CONCATENATE('9, Búsqueda'!A4,": ",'9, Búsqueda'!B4)</f>
        <v/>
      </c>
      <c r="B107" s="31" t="inlineStr">
        <is>
          <t>MA</t>
        </is>
      </c>
      <c r="C107" s="31" t="inlineStr">
        <is>
          <t>MO</t>
        </is>
      </c>
      <c r="D107" s="31" t="inlineStr">
        <is>
          <t>MA</t>
        </is>
      </c>
      <c r="E107" s="31" t="inlineStr">
        <is>
          <t>MA</t>
        </is>
      </c>
      <c r="F107" s="31" t="inlineStr">
        <is>
          <t>ME</t>
        </is>
      </c>
      <c r="G107" s="31" t="inlineStr">
        <is>
          <t>MA</t>
        </is>
      </c>
      <c r="H107" s="31" t="inlineStr">
        <is>
          <t>ME</t>
        </is>
      </c>
      <c r="I107" s="31" t="inlineStr">
        <is>
          <t>ME</t>
        </is>
      </c>
      <c r="J107" s="31" t="inlineStr">
        <is>
          <t>ME</t>
        </is>
      </c>
      <c r="K107" s="31" t="inlineStr">
        <is>
          <t>ME</t>
        </is>
      </c>
      <c r="L107" s="31" t="inlineStr">
        <is>
          <t>ME</t>
        </is>
      </c>
      <c r="M107" s="31" t="inlineStr">
        <is>
          <t>ME</t>
        </is>
      </c>
      <c r="N107" s="31" t="inlineStr">
        <is>
          <t>MA</t>
        </is>
      </c>
      <c r="O107" s="31" t="inlineStr">
        <is>
          <t>MA</t>
        </is>
      </c>
      <c r="P107" s="31" t="inlineStr">
        <is>
          <t>MA</t>
        </is>
      </c>
      <c r="Q107" s="31" t="inlineStr">
        <is>
          <t>MA</t>
        </is>
      </c>
    </row>
    <row r="108">
      <c r="A108" s="30">
        <f>CONCATENATE('9, Búsqueda'!A5,": ",'9, Búsqueda'!B5)</f>
        <v/>
      </c>
      <c r="B108" s="31" t="inlineStr">
        <is>
          <t>MA</t>
        </is>
      </c>
      <c r="C108" s="31" t="inlineStr">
        <is>
          <t>ME</t>
        </is>
      </c>
      <c r="D108" s="31" t="inlineStr">
        <is>
          <t>MA</t>
        </is>
      </c>
      <c r="E108" s="31" t="inlineStr">
        <is>
          <t>MA</t>
        </is>
      </c>
      <c r="F108" s="31" t="inlineStr">
        <is>
          <t>MA</t>
        </is>
      </c>
      <c r="G108" s="31" t="inlineStr">
        <is>
          <t>ME</t>
        </is>
      </c>
      <c r="H108" s="31" t="inlineStr">
        <is>
          <t>MA</t>
        </is>
      </c>
      <c r="I108" s="31" t="inlineStr">
        <is>
          <t>ME</t>
        </is>
      </c>
      <c r="J108" s="31" t="inlineStr">
        <is>
          <t>ME</t>
        </is>
      </c>
      <c r="K108" s="31" t="inlineStr">
        <is>
          <t>MO</t>
        </is>
      </c>
      <c r="L108" s="31" t="inlineStr">
        <is>
          <t>ME</t>
        </is>
      </c>
      <c r="M108" s="31" t="inlineStr">
        <is>
          <t>MO</t>
        </is>
      </c>
      <c r="N108" s="31" t="inlineStr">
        <is>
          <t>MA</t>
        </is>
      </c>
      <c r="O108" s="31" t="inlineStr">
        <is>
          <t>ME</t>
        </is>
      </c>
      <c r="P108" s="31" t="inlineStr">
        <is>
          <t>ME</t>
        </is>
      </c>
      <c r="Q108" s="31" t="inlineStr">
        <is>
          <t>ME</t>
        </is>
      </c>
    </row>
    <row r="109">
      <c r="A109" s="30">
        <f>CONCATENATE('9, Búsqueda'!A6,": ",'9, Búsqueda'!B6)</f>
        <v/>
      </c>
      <c r="B109" s="31" t="inlineStr">
        <is>
          <t>MA</t>
        </is>
      </c>
      <c r="C109" s="31" t="inlineStr">
        <is>
          <t>MO</t>
        </is>
      </c>
      <c r="D109" s="31" t="inlineStr">
        <is>
          <t>ME</t>
        </is>
      </c>
      <c r="E109" s="31" t="inlineStr">
        <is>
          <t>MA</t>
        </is>
      </c>
      <c r="F109" s="31" t="inlineStr">
        <is>
          <t>ME</t>
        </is>
      </c>
      <c r="G109" s="31" t="inlineStr">
        <is>
          <t>ME</t>
        </is>
      </c>
      <c r="H109" s="31" t="inlineStr">
        <is>
          <t>ME</t>
        </is>
      </c>
      <c r="I109" s="31" t="inlineStr">
        <is>
          <t>MA</t>
        </is>
      </c>
      <c r="J109" s="31" t="inlineStr">
        <is>
          <t>ME</t>
        </is>
      </c>
      <c r="K109" s="31" t="inlineStr">
        <is>
          <t>MA</t>
        </is>
      </c>
      <c r="L109" s="31" t="inlineStr">
        <is>
          <t>MO</t>
        </is>
      </c>
      <c r="M109" s="31" t="inlineStr">
        <is>
          <t>MO</t>
        </is>
      </c>
      <c r="N109" s="31" t="inlineStr">
        <is>
          <t>MA</t>
        </is>
      </c>
      <c r="O109" s="31" t="inlineStr">
        <is>
          <t>MA</t>
        </is>
      </c>
      <c r="P109" s="31" t="inlineStr">
        <is>
          <t>MA</t>
        </is>
      </c>
      <c r="Q109" s="31" t="inlineStr">
        <is>
          <t>MA</t>
        </is>
      </c>
    </row>
    <row r="110">
      <c r="A110" s="30">
        <f>CONCATENATE('9, Búsqueda'!A7,": ",'9, Búsqueda'!B7)</f>
        <v/>
      </c>
      <c r="B110" s="31" t="inlineStr">
        <is>
          <t>CR</t>
        </is>
      </c>
      <c r="C110" s="31" t="inlineStr">
        <is>
          <t>CR</t>
        </is>
      </c>
      <c r="D110" s="31" t="inlineStr">
        <is>
          <t>MO</t>
        </is>
      </c>
      <c r="E110" s="31" t="inlineStr">
        <is>
          <t>CR</t>
        </is>
      </c>
      <c r="F110" s="31" t="inlineStr">
        <is>
          <t>CR</t>
        </is>
      </c>
      <c r="G110" s="31" t="inlineStr">
        <is>
          <t>MO</t>
        </is>
      </c>
      <c r="H110" s="31" t="inlineStr">
        <is>
          <t>MA</t>
        </is>
      </c>
      <c r="I110" s="31" t="inlineStr">
        <is>
          <t>CR</t>
        </is>
      </c>
      <c r="J110" s="31" t="inlineStr">
        <is>
          <t>MA</t>
        </is>
      </c>
      <c r="K110" s="31" t="inlineStr">
        <is>
          <t>MO</t>
        </is>
      </c>
      <c r="L110" s="31" t="inlineStr">
        <is>
          <t>MA</t>
        </is>
      </c>
      <c r="M110" s="31" t="inlineStr">
        <is>
          <t>ME</t>
        </is>
      </c>
      <c r="N110" s="31" t="inlineStr">
        <is>
          <t>MO</t>
        </is>
      </c>
      <c r="O110" s="31" t="inlineStr">
        <is>
          <t>MA</t>
        </is>
      </c>
      <c r="P110" s="31" t="inlineStr">
        <is>
          <t>MA</t>
        </is>
      </c>
      <c r="Q110" s="31" t="inlineStr">
        <is>
          <t>MA</t>
        </is>
      </c>
    </row>
    <row r="111">
      <c r="A111" s="30">
        <f>CONCATENATE('9, Búsqueda'!A8,": ",'9, Búsqueda'!B8)</f>
        <v/>
      </c>
      <c r="B111" s="31" t="inlineStr">
        <is>
          <t>MA</t>
        </is>
      </c>
      <c r="C111" s="31" t="inlineStr">
        <is>
          <t>MO</t>
        </is>
      </c>
      <c r="D111" s="31" t="inlineStr">
        <is>
          <t>ME</t>
        </is>
      </c>
      <c r="E111" s="31" t="inlineStr">
        <is>
          <t>MA</t>
        </is>
      </c>
      <c r="F111" s="31" t="inlineStr">
        <is>
          <t>MA</t>
        </is>
      </c>
      <c r="G111" s="31" t="inlineStr">
        <is>
          <t>ME</t>
        </is>
      </c>
      <c r="H111" s="31" t="inlineStr">
        <is>
          <t>MA</t>
        </is>
      </c>
      <c r="I111" s="31" t="inlineStr">
        <is>
          <t>ME</t>
        </is>
      </c>
      <c r="J111" s="31" t="inlineStr">
        <is>
          <t>ME</t>
        </is>
      </c>
      <c r="K111" s="31" t="inlineStr">
        <is>
          <t>MA</t>
        </is>
      </c>
      <c r="L111" s="31" t="inlineStr">
        <is>
          <t>ME</t>
        </is>
      </c>
      <c r="M111" s="31" t="inlineStr">
        <is>
          <t>MO</t>
        </is>
      </c>
      <c r="N111" s="31" t="inlineStr">
        <is>
          <t>MA</t>
        </is>
      </c>
      <c r="O111" s="31" t="inlineStr">
        <is>
          <t>ME</t>
        </is>
      </c>
      <c r="P111" s="31" t="inlineStr">
        <is>
          <t>ME</t>
        </is>
      </c>
      <c r="Q111" s="31" t="inlineStr">
        <is>
          <t>ME</t>
        </is>
      </c>
    </row>
    <row r="112">
      <c r="A112" s="30">
        <f>CONCATENATE('9, Búsqueda'!A9,": ",'9, Búsqueda'!B9)</f>
        <v/>
      </c>
      <c r="B112" s="31" t="inlineStr">
        <is>
          <t>MA</t>
        </is>
      </c>
      <c r="C112" s="31" t="inlineStr">
        <is>
          <t>ME</t>
        </is>
      </c>
      <c r="D112" s="31" t="inlineStr">
        <is>
          <t>MA</t>
        </is>
      </c>
      <c r="E112" s="31" t="inlineStr">
        <is>
          <t>MA</t>
        </is>
      </c>
      <c r="F112" s="31" t="inlineStr">
        <is>
          <t>MA</t>
        </is>
      </c>
      <c r="G112" s="31" t="inlineStr">
        <is>
          <t>ME</t>
        </is>
      </c>
      <c r="H112" s="31" t="inlineStr">
        <is>
          <t>MA</t>
        </is>
      </c>
      <c r="I112" s="31" t="inlineStr">
        <is>
          <t>MA</t>
        </is>
      </c>
      <c r="J112" s="31" t="inlineStr">
        <is>
          <t>MA</t>
        </is>
      </c>
      <c r="K112" s="31" t="inlineStr">
        <is>
          <t>ME</t>
        </is>
      </c>
      <c r="L112" s="31" t="inlineStr">
        <is>
          <t>ME</t>
        </is>
      </c>
      <c r="M112" s="31" t="inlineStr">
        <is>
          <t>ME</t>
        </is>
      </c>
      <c r="N112" s="31" t="inlineStr">
        <is>
          <t>MA</t>
        </is>
      </c>
      <c r="O112" s="31" t="inlineStr">
        <is>
          <t>MA</t>
        </is>
      </c>
      <c r="P112" s="31" t="inlineStr">
        <is>
          <t>MA</t>
        </is>
      </c>
      <c r="Q112" s="31" t="inlineStr">
        <is>
          <t>MA</t>
        </is>
      </c>
    </row>
    <row r="113">
      <c r="A113" s="30">
        <f>CONCATENATE('9, Búsqueda'!A10,": ",'9, Búsqueda'!B10)</f>
        <v/>
      </c>
      <c r="B113" s="31" t="inlineStr">
        <is>
          <t>ME</t>
        </is>
      </c>
      <c r="C113" s="31" t="inlineStr">
        <is>
          <t>MO</t>
        </is>
      </c>
      <c r="D113" s="31" t="inlineStr">
        <is>
          <t>MA</t>
        </is>
      </c>
      <c r="E113" s="31" t="inlineStr">
        <is>
          <t>MA</t>
        </is>
      </c>
      <c r="F113" s="31" t="inlineStr">
        <is>
          <t>ME</t>
        </is>
      </c>
      <c r="G113" s="31" t="inlineStr">
        <is>
          <t>ME</t>
        </is>
      </c>
      <c r="H113" s="31" t="inlineStr">
        <is>
          <t>ME</t>
        </is>
      </c>
      <c r="I113" s="31" t="inlineStr">
        <is>
          <t>MA</t>
        </is>
      </c>
      <c r="J113" s="31" t="inlineStr">
        <is>
          <t>ME</t>
        </is>
      </c>
      <c r="K113" s="31" t="inlineStr">
        <is>
          <t>ME</t>
        </is>
      </c>
      <c r="L113" s="31" t="inlineStr">
        <is>
          <t>MO</t>
        </is>
      </c>
      <c r="M113" s="31" t="inlineStr">
        <is>
          <t>MO</t>
        </is>
      </c>
      <c r="N113" s="31" t="inlineStr">
        <is>
          <t>ME</t>
        </is>
      </c>
      <c r="O113" s="31" t="inlineStr">
        <is>
          <t>ME</t>
        </is>
      </c>
      <c r="P113" s="31" t="inlineStr">
        <is>
          <t>ME</t>
        </is>
      </c>
      <c r="Q113" s="31" t="inlineStr">
        <is>
          <t>ME</t>
        </is>
      </c>
    </row>
    <row r="114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</row>
    <row r="115">
      <c r="A115" s="26" t="inlineStr">
        <is>
          <t>TABLA 6.30. RELEVANCIA DEL INCUMPLIMIENTO DE LOS CRITERIOS DE "AYUDA"</t>
        </is>
      </c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</row>
    <row r="116" ht="18" customHeight="1" s="3">
      <c r="A116" s="27" t="n"/>
      <c r="B116" s="28" t="inlineStr">
        <is>
          <t>Tipo de Sitio</t>
        </is>
      </c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</row>
    <row r="117" ht="110.4" customHeight="1" s="3">
      <c r="A117" s="28" t="inlineStr">
        <is>
          <t>Criterio</t>
        </is>
      </c>
      <c r="B117" s="29">
        <f>B$3</f>
        <v/>
      </c>
      <c r="C117" s="29">
        <f>C$3</f>
        <v/>
      </c>
      <c r="D117" s="29">
        <f>D$3</f>
        <v/>
      </c>
      <c r="E117" s="29">
        <f>E$3</f>
        <v/>
      </c>
      <c r="F117" s="29">
        <f>F$3</f>
        <v/>
      </c>
      <c r="G117" s="29">
        <f>G$3</f>
        <v/>
      </c>
      <c r="H117" s="29">
        <f>H$3</f>
        <v/>
      </c>
      <c r="I117" s="29">
        <f>I$3</f>
        <v/>
      </c>
      <c r="J117" s="29">
        <f>J$3</f>
        <v/>
      </c>
      <c r="K117" s="29">
        <f>K$3</f>
        <v/>
      </c>
      <c r="L117" s="29">
        <f>L$3</f>
        <v/>
      </c>
      <c r="M117" s="29">
        <f>M$3</f>
        <v/>
      </c>
      <c r="N117" s="29">
        <f>N$3</f>
        <v/>
      </c>
      <c r="O117" s="29">
        <f>O$3</f>
        <v/>
      </c>
      <c r="P117" s="29">
        <f>P$3</f>
        <v/>
      </c>
      <c r="Q117" s="29">
        <f>Q$3</f>
        <v/>
      </c>
    </row>
    <row r="118">
      <c r="A118" s="30">
        <f>CONCATENATE('10, Ayuda'!A3,": ",'10, Ayuda'!B3)</f>
        <v/>
      </c>
      <c r="B118" s="31" t="inlineStr">
        <is>
          <t>MA</t>
        </is>
      </c>
      <c r="C118" s="31" t="inlineStr">
        <is>
          <t>MO</t>
        </is>
      </c>
      <c r="D118" s="31" t="inlineStr">
        <is>
          <t>MA</t>
        </is>
      </c>
      <c r="E118" s="31" t="inlineStr">
        <is>
          <t>MA</t>
        </is>
      </c>
      <c r="F118" s="31" t="inlineStr">
        <is>
          <t>MO</t>
        </is>
      </c>
      <c r="G118" s="31" t="inlineStr">
        <is>
          <t>MO</t>
        </is>
      </c>
      <c r="H118" s="31" t="inlineStr">
        <is>
          <t>MO</t>
        </is>
      </c>
      <c r="I118" s="31" t="inlineStr">
        <is>
          <t>ME</t>
        </is>
      </c>
      <c r="J118" s="31" t="inlineStr">
        <is>
          <t>ME</t>
        </is>
      </c>
      <c r="K118" s="31" t="inlineStr">
        <is>
          <t>ME</t>
        </is>
      </c>
      <c r="L118" s="31" t="inlineStr">
        <is>
          <t>MO</t>
        </is>
      </c>
      <c r="M118" s="31" t="inlineStr">
        <is>
          <t>MO</t>
        </is>
      </c>
      <c r="N118" s="31" t="inlineStr">
        <is>
          <t>MO</t>
        </is>
      </c>
      <c r="O118" s="31" t="inlineStr">
        <is>
          <t>MA</t>
        </is>
      </c>
      <c r="P118" s="31" t="inlineStr">
        <is>
          <t>MA</t>
        </is>
      </c>
      <c r="Q118" s="31" t="inlineStr">
        <is>
          <t>ME</t>
        </is>
      </c>
    </row>
    <row r="119">
      <c r="A119" s="30">
        <f>CONCATENATE('10, Ayuda'!A4,": ",'10, Ayuda'!B4)</f>
        <v/>
      </c>
      <c r="B119" s="31" t="inlineStr">
        <is>
          <t>ME</t>
        </is>
      </c>
      <c r="C119" s="31" t="inlineStr">
        <is>
          <t>MO</t>
        </is>
      </c>
      <c r="D119" s="31" t="inlineStr">
        <is>
          <t>MA</t>
        </is>
      </c>
      <c r="E119" s="31" t="inlineStr">
        <is>
          <t>ME</t>
        </is>
      </c>
      <c r="F119" s="31" t="inlineStr">
        <is>
          <t>MO</t>
        </is>
      </c>
      <c r="G119" s="31" t="inlineStr">
        <is>
          <t>MO</t>
        </is>
      </c>
      <c r="H119" s="31" t="inlineStr">
        <is>
          <t>MO</t>
        </is>
      </c>
      <c r="I119" s="31" t="inlineStr">
        <is>
          <t>ME</t>
        </is>
      </c>
      <c r="J119" s="31" t="inlineStr">
        <is>
          <t>ME</t>
        </is>
      </c>
      <c r="K119" s="31" t="inlineStr">
        <is>
          <t>MO</t>
        </is>
      </c>
      <c r="L119" s="31" t="inlineStr">
        <is>
          <t>MO</t>
        </is>
      </c>
      <c r="M119" s="31" t="inlineStr">
        <is>
          <t>MO</t>
        </is>
      </c>
      <c r="N119" s="31" t="inlineStr">
        <is>
          <t>MO</t>
        </is>
      </c>
      <c r="O119" s="31" t="inlineStr">
        <is>
          <t>ME</t>
        </is>
      </c>
      <c r="P119" s="31" t="inlineStr">
        <is>
          <t>ME</t>
        </is>
      </c>
      <c r="Q119" s="31" t="inlineStr">
        <is>
          <t>ME</t>
        </is>
      </c>
    </row>
    <row r="120">
      <c r="A120" s="30">
        <f>CONCATENATE('10, Ayuda'!A5,": ",'10, Ayuda'!B5)</f>
        <v/>
      </c>
      <c r="B120" s="31" t="inlineStr">
        <is>
          <t>MA</t>
        </is>
      </c>
      <c r="C120" s="31" t="inlineStr">
        <is>
          <t>MO</t>
        </is>
      </c>
      <c r="D120" s="31" t="inlineStr">
        <is>
          <t>CR</t>
        </is>
      </c>
      <c r="E120" s="31" t="inlineStr">
        <is>
          <t>MA</t>
        </is>
      </c>
      <c r="F120" s="31" t="inlineStr">
        <is>
          <t>MO</t>
        </is>
      </c>
      <c r="G120" s="31" t="inlineStr">
        <is>
          <t>ME</t>
        </is>
      </c>
      <c r="H120" s="31" t="inlineStr">
        <is>
          <t>ME</t>
        </is>
      </c>
      <c r="I120" s="31" t="inlineStr">
        <is>
          <t>ME</t>
        </is>
      </c>
      <c r="J120" s="31" t="inlineStr">
        <is>
          <t>ME</t>
        </is>
      </c>
      <c r="K120" s="31" t="inlineStr">
        <is>
          <t>MO</t>
        </is>
      </c>
      <c r="L120" s="31" t="inlineStr">
        <is>
          <t>MO</t>
        </is>
      </c>
      <c r="M120" s="31" t="inlineStr">
        <is>
          <t>MO</t>
        </is>
      </c>
      <c r="N120" s="31" t="inlineStr">
        <is>
          <t>ME</t>
        </is>
      </c>
      <c r="O120" s="31" t="inlineStr">
        <is>
          <t>ME</t>
        </is>
      </c>
      <c r="P120" s="31" t="inlineStr">
        <is>
          <t>ME</t>
        </is>
      </c>
      <c r="Q120" s="31" t="inlineStr">
        <is>
          <t>ME</t>
        </is>
      </c>
    </row>
    <row r="121">
      <c r="A121" s="30">
        <f>CONCATENATE('10, Ayuda'!A6,": ",'10, Ayuda'!B6)</f>
        <v/>
      </c>
      <c r="B121" s="31" t="inlineStr">
        <is>
          <t>MA</t>
        </is>
      </c>
      <c r="C121" s="31" t="inlineStr">
        <is>
          <t>MO</t>
        </is>
      </c>
      <c r="D121" s="31" t="inlineStr">
        <is>
          <t>MA</t>
        </is>
      </c>
      <c r="E121" s="31" t="inlineStr">
        <is>
          <t>MA</t>
        </is>
      </c>
      <c r="F121" s="31" t="inlineStr">
        <is>
          <t>MO</t>
        </is>
      </c>
      <c r="G121" s="31" t="inlineStr">
        <is>
          <t>ME</t>
        </is>
      </c>
      <c r="H121" s="31" t="inlineStr">
        <is>
          <t>ME</t>
        </is>
      </c>
      <c r="I121" s="31" t="inlineStr">
        <is>
          <t>ME</t>
        </is>
      </c>
      <c r="J121" s="31" t="inlineStr">
        <is>
          <t>ME</t>
        </is>
      </c>
      <c r="K121" s="31" t="inlineStr">
        <is>
          <t>ME</t>
        </is>
      </c>
      <c r="L121" s="31" t="inlineStr">
        <is>
          <t>MO</t>
        </is>
      </c>
      <c r="M121" s="31" t="inlineStr">
        <is>
          <t>MO</t>
        </is>
      </c>
      <c r="N121" s="31" t="inlineStr">
        <is>
          <t>ME</t>
        </is>
      </c>
      <c r="O121" s="31" t="inlineStr">
        <is>
          <t>MA</t>
        </is>
      </c>
      <c r="P121" s="31" t="inlineStr">
        <is>
          <t>ME</t>
        </is>
      </c>
      <c r="Q121" s="31" t="inlineStr">
        <is>
          <t>ME</t>
        </is>
      </c>
    </row>
    <row r="122">
      <c r="A122" s="30">
        <f>CONCATENATE('10, Ayuda'!A7,": ",'10, Ayuda'!B7)</f>
        <v/>
      </c>
      <c r="B122" s="31" t="inlineStr">
        <is>
          <t>MA</t>
        </is>
      </c>
      <c r="C122" s="31" t="inlineStr">
        <is>
          <t>MO</t>
        </is>
      </c>
      <c r="D122" s="31" t="inlineStr">
        <is>
          <t>MA</t>
        </is>
      </c>
      <c r="E122" s="31" t="inlineStr">
        <is>
          <t>MA</t>
        </is>
      </c>
      <c r="F122" s="31" t="inlineStr">
        <is>
          <t>MO</t>
        </is>
      </c>
      <c r="G122" s="31" t="inlineStr">
        <is>
          <t>ME</t>
        </is>
      </c>
      <c r="H122" s="31" t="inlineStr">
        <is>
          <t>ME</t>
        </is>
      </c>
      <c r="I122" s="31" t="inlineStr">
        <is>
          <t>ME</t>
        </is>
      </c>
      <c r="J122" s="31" t="inlineStr">
        <is>
          <t>ME</t>
        </is>
      </c>
      <c r="K122" s="31" t="inlineStr">
        <is>
          <t>ME</t>
        </is>
      </c>
      <c r="L122" s="31" t="inlineStr">
        <is>
          <t>MO</t>
        </is>
      </c>
      <c r="M122" s="31" t="inlineStr">
        <is>
          <t>MO</t>
        </is>
      </c>
      <c r="N122" s="31" t="inlineStr">
        <is>
          <t>ME</t>
        </is>
      </c>
      <c r="O122" s="31" t="inlineStr">
        <is>
          <t>MA</t>
        </is>
      </c>
      <c r="P122" s="31" t="inlineStr">
        <is>
          <t>ME</t>
        </is>
      </c>
      <c r="Q122" s="31" t="inlineStr">
        <is>
          <t>ME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pageMargins left="0.7" right="0.7" top="0.75" bottom="0.75" header="0.3" footer="0.3"/>
</worksheet>
</file>

<file path=xl/worksheets/sheet14.xml><?xml version="1.0" encoding="utf-8"?>
<worksheet xmlns="http://schemas.openxmlformats.org/spreadsheetml/2006/main">
  <sheetPr codeName="Hoja12">
    <outlinePr summaryBelow="1" summaryRight="1"/>
    <pageSetUpPr/>
  </sheetPr>
  <dimension ref="A3:N21"/>
  <sheetViews>
    <sheetView showGridLines="0" zoomScaleNormal="100" workbookViewId="0">
      <selection activeCell="E13" sqref="E13"/>
    </sheetView>
  </sheetViews>
  <sheetFormatPr baseColWidth="10" defaultRowHeight="14.4"/>
  <cols>
    <col width="5.109375" customWidth="1" style="3" min="1" max="1"/>
    <col width="10.88671875" customWidth="1" style="3" min="3" max="3"/>
  </cols>
  <sheetData>
    <row r="3">
      <c r="A3" s="1" t="inlineStr">
        <is>
          <t>Datos internos</t>
        </is>
      </c>
      <c r="C3" t="inlineStr">
        <is>
          <t>No modificar, son los datos de las combos</t>
        </is>
      </c>
    </row>
    <row r="5">
      <c r="A5" s="2" t="n">
        <v>0</v>
      </c>
      <c r="C5" t="inlineStr">
        <is>
          <t>NTS</t>
        </is>
      </c>
      <c r="E5" t="inlineStr">
        <is>
          <t>Administración Pública / Institucional</t>
        </is>
      </c>
      <c r="J5" t="inlineStr">
        <is>
          <t>CR</t>
        </is>
      </c>
      <c r="K5" t="n">
        <v>8</v>
      </c>
      <c r="M5" s="2" t="inlineStr">
        <is>
          <t>NTS</t>
        </is>
      </c>
      <c r="N5" s="2" t="n">
        <v>0</v>
      </c>
    </row>
    <row r="6">
      <c r="A6" s="2" t="n">
        <v>1</v>
      </c>
      <c r="C6" t="inlineStr">
        <is>
          <t>NEP</t>
        </is>
      </c>
      <c r="E6" t="inlineStr">
        <is>
          <t>Banca electrónica</t>
        </is>
      </c>
      <c r="J6" t="inlineStr">
        <is>
          <t>MA</t>
        </is>
      </c>
      <c r="K6" t="n">
        <v>4</v>
      </c>
      <c r="M6" s="2" t="inlineStr">
        <is>
          <t>NEP</t>
        </is>
      </c>
      <c r="N6" s="2" t="n">
        <v>2.5</v>
      </c>
    </row>
    <row r="7">
      <c r="A7" s="2" t="n">
        <v>2</v>
      </c>
      <c r="C7" t="inlineStr">
        <is>
          <t>NPP</t>
        </is>
      </c>
      <c r="E7" t="inlineStr">
        <is>
          <t>Blog</t>
        </is>
      </c>
      <c r="J7" t="inlineStr">
        <is>
          <t>ME</t>
        </is>
      </c>
      <c r="K7" t="n">
        <v>2</v>
      </c>
      <c r="M7" s="2" t="inlineStr">
        <is>
          <t>NPP</t>
        </is>
      </c>
      <c r="N7" s="2" t="n">
        <v>5</v>
      </c>
    </row>
    <row r="8">
      <c r="A8" s="2" t="n">
        <v>3</v>
      </c>
      <c r="C8" t="inlineStr">
        <is>
          <t>NPI</t>
        </is>
      </c>
      <c r="E8" t="inlineStr">
        <is>
          <t>Comercio electrónico</t>
        </is>
      </c>
      <c r="J8" t="inlineStr">
        <is>
          <t>MO</t>
        </is>
      </c>
      <c r="K8" t="n">
        <v>1</v>
      </c>
      <c r="M8" s="2" t="inlineStr">
        <is>
          <t>NPI</t>
        </is>
      </c>
      <c r="N8" s="2" t="n">
        <v>7.5</v>
      </c>
    </row>
    <row r="9">
      <c r="A9" s="2" t="n">
        <v>4</v>
      </c>
      <c r="C9" t="inlineStr">
        <is>
          <t>S</t>
        </is>
      </c>
      <c r="E9" t="inlineStr">
        <is>
          <t>Comunicación / Noticias</t>
        </is>
      </c>
      <c r="M9" s="2" t="inlineStr">
        <is>
          <t>S</t>
        </is>
      </c>
      <c r="N9" s="2" t="n">
        <v>10</v>
      </c>
    </row>
    <row r="10">
      <c r="A10" s="2" t="n">
        <v>5</v>
      </c>
      <c r="C10" t="inlineStr">
        <is>
          <t>NA</t>
        </is>
      </c>
      <c r="E10" t="inlineStr">
        <is>
          <t>Corporativo / Empresas</t>
        </is>
      </c>
      <c r="M10" s="2" t="n">
        <v>0</v>
      </c>
      <c r="N10" s="2" t="n">
        <v>0</v>
      </c>
    </row>
    <row r="11">
      <c r="A11" s="2" t="n">
        <v>6</v>
      </c>
      <c r="E11" t="inlineStr">
        <is>
          <t>Descargas</t>
        </is>
      </c>
      <c r="M11" s="2" t="n">
        <v>1</v>
      </c>
      <c r="N11" s="2" t="n">
        <v>1</v>
      </c>
    </row>
    <row r="12">
      <c r="A12" s="2" t="n">
        <v>7</v>
      </c>
      <c r="E12" t="inlineStr">
        <is>
          <t>Educativo / Formativo</t>
        </is>
      </c>
      <c r="M12" s="2" t="n">
        <v>2</v>
      </c>
      <c r="N12" s="2" t="n">
        <v>2</v>
      </c>
    </row>
    <row r="13">
      <c r="A13" s="2" t="n">
        <v>8</v>
      </c>
      <c r="E13" t="inlineStr">
        <is>
          <t>Entornos colaborativos / Wikis</t>
        </is>
      </c>
      <c r="M13" s="2" t="n">
        <v>3</v>
      </c>
      <c r="N13" s="2" t="n">
        <v>3</v>
      </c>
    </row>
    <row r="14">
      <c r="A14" s="2" t="n">
        <v>9</v>
      </c>
      <c r="E14" t="inlineStr">
        <is>
          <t>Foros / Chat</t>
        </is>
      </c>
      <c r="M14" s="2" t="n">
        <v>4</v>
      </c>
      <c r="N14" s="2" t="n">
        <v>4</v>
      </c>
    </row>
    <row r="15">
      <c r="A15" s="2" t="n">
        <v>10</v>
      </c>
      <c r="E15" t="inlineStr">
        <is>
          <t>Ocio / Entretenimiento</t>
        </is>
      </c>
      <c r="M15" s="2" t="n">
        <v>5</v>
      </c>
      <c r="N15" s="2" t="n">
        <v>5</v>
      </c>
    </row>
    <row r="16">
      <c r="A16" s="2" t="inlineStr">
        <is>
          <t>NA</t>
        </is>
      </c>
      <c r="E16" t="inlineStr">
        <is>
          <t>Personal</t>
        </is>
      </c>
      <c r="M16" s="2" t="n">
        <v>6</v>
      </c>
      <c r="N16" s="2" t="n">
        <v>6</v>
      </c>
    </row>
    <row r="17">
      <c r="E17" t="inlineStr">
        <is>
          <t>Portal de Servicios</t>
        </is>
      </c>
      <c r="M17" s="2" t="n">
        <v>7</v>
      </c>
      <c r="N17" s="2" t="n">
        <v>7</v>
      </c>
    </row>
    <row r="18">
      <c r="E18" t="inlineStr">
        <is>
          <t>Servicios interactivos basados en imágenes</t>
        </is>
      </c>
      <c r="M18" s="2" t="n">
        <v>8</v>
      </c>
      <c r="N18" s="2" t="n">
        <v>8</v>
      </c>
    </row>
    <row r="19">
      <c r="E19" t="inlineStr">
        <is>
          <t>Servicios interactivos no basados en imágenes</t>
        </is>
      </c>
      <c r="M19" s="2" t="n">
        <v>9</v>
      </c>
      <c r="N19" s="2" t="n">
        <v>9</v>
      </c>
    </row>
    <row r="20">
      <c r="E20" t="inlineStr">
        <is>
          <t>Webmail / Correo</t>
        </is>
      </c>
      <c r="M20" s="2" t="n">
        <v>10</v>
      </c>
      <c r="N20" s="2" t="n">
        <v>10</v>
      </c>
    </row>
    <row r="21">
      <c r="M21" s="2" t="inlineStr">
        <is>
          <t>NA</t>
        </is>
      </c>
      <c r="N21" s="2" t="n">
        <v>0</v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F589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Olga Carreras</dc:creator>
  <dc:title xml:space="preserve">Checklist para revisión heurística de usabilidad </dc:title>
  <dc:description>Este documento está basado en la tesis de  Mª del Carmen Suárez Torrente
http://www.di.uniovi.es/~cueva/investigacion/tesis/Sirius.pdf</dc:description>
  <dcterms:created xsi:type="dcterms:W3CDTF">2011-07-19T18:58:20Z</dcterms:created>
  <dcterms:modified xsi:type="dcterms:W3CDTF">2026-05-05T14:20:04Z</dcterms:modified>
  <cp:lastModifiedBy>Olga</cp:lastModifiedBy>
  <cp:category>Usabilidad</cp:category>
  <cp:contentStatus>revisado</cp:contentStatus>
  <cp:keywords>Usabilidad, Análisis, CheckList, Sirius</cp:keywords>
  <cp:lastPrinted>2011-07-30T13:38:34Z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Web" fmtid="{D5CDD505-2E9C-101B-9397-08002B2CF9AE}" pid="2">
    <vt:lpwstr>http://olgacarreras.blogspot.com/</vt:lpwstr>
  </property>
  <property name="Versión" fmtid="{D5CDD505-2E9C-101B-9397-08002B2CF9AE}" pid="3">
    <vt:lpwstr>3.2</vt:lpwstr>
  </property>
</Properties>
</file>